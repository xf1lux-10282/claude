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02"/>
  <workbookPr filterPrivacy="1"/>
  <xr:revisionPtr revIDLastSave="0" documentId="13_ncr:20001_{C5EE7C2F-AC91-A844-B271-918F1A6D653D}" xr6:coauthVersionLast="47" xr6:coauthVersionMax="47" xr10:uidLastSave="{00000000-0000-0000-0000-000000000000}"/>
  <bookViews>
    <workbookView xWindow="32920" yWindow="500" windowWidth="39560" windowHeight="42700" tabRatio="841" firstSheet="1" activeTab="20" xr2:uid="{00000000-000D-0000-FFFF-FFFF00000000}"/>
  </bookViews>
  <sheets>
    <sheet name="表紙" sheetId="40" r:id="rId1"/>
    <sheet name="申請者1" sheetId="2" r:id="rId2"/>
    <sheet name="申請者2" sheetId="3" r:id="rId3"/>
    <sheet name="申請者3" sheetId="4" r:id="rId4"/>
    <sheet name="計画1" sheetId="46" r:id="rId5"/>
    <sheet name="計画2" sheetId="47" r:id="rId6"/>
    <sheet name="計画3" sheetId="48" r:id="rId7"/>
    <sheet name="計画4" sheetId="49" r:id="rId8"/>
    <sheet name="工程" sheetId="52" r:id="rId9"/>
    <sheet name="原材料" sheetId="53" r:id="rId10"/>
    <sheet name="機械" sheetId="54" r:id="rId11"/>
    <sheet name="委託" sheetId="55" r:id="rId12"/>
    <sheet name="財産権" sheetId="56" r:id="rId13"/>
    <sheet name="規格" sheetId="57" r:id="rId14"/>
    <sheet name="設備" sheetId="58" r:id="rId15"/>
    <sheet name="システム" sheetId="59" r:id="rId16"/>
    <sheet name="専門" sheetId="60" r:id="rId17"/>
    <sheet name="賃借" sheetId="61" r:id="rId18"/>
    <sheet name="販売" sheetId="62" r:id="rId19"/>
    <sheet name="他" sheetId="63" r:id="rId20"/>
    <sheet name="相見積一覧" sheetId="64" r:id="rId21"/>
    <sheet name="資金" sheetId="51" r:id="rId22"/>
  </sheets>
  <definedNames>
    <definedName name="__xlchart.v1.0" localSheetId="4" hidden="1">#REF!</definedName>
    <definedName name="__xlchart.v1.0" localSheetId="5" hidden="1">#REF!</definedName>
    <definedName name="__xlchart.v1.0" localSheetId="6" hidden="1">#REF!</definedName>
    <definedName name="__xlchart.v1.0" localSheetId="7" hidden="1">#REF!</definedName>
    <definedName name="__xlchart.v1.0" localSheetId="0" hidden="1">#REF!</definedName>
    <definedName name="__xlchart.v1.0" hidden="1">#REF!</definedName>
    <definedName name="__xlchart.v1.1" localSheetId="4" hidden="1">#REF!</definedName>
    <definedName name="__xlchart.v1.1" localSheetId="5" hidden="1">#REF!</definedName>
    <definedName name="__xlchart.v1.1" localSheetId="6" hidden="1">#REF!</definedName>
    <definedName name="__xlchart.v1.1" localSheetId="7" hidden="1">#REF!</definedName>
    <definedName name="__xlchart.v1.1" localSheetId="0" hidden="1">#REF!</definedName>
    <definedName name="__xlchart.v1.1" hidden="1">#REF!</definedName>
    <definedName name="__xlchart.v1.2" localSheetId="4" hidden="1">#REF!</definedName>
    <definedName name="__xlchart.v1.2" localSheetId="5" hidden="1">#REF!</definedName>
    <definedName name="__xlchart.v1.2" localSheetId="6" hidden="1">#REF!</definedName>
    <definedName name="__xlchart.v1.2" localSheetId="7" hidden="1">#REF!</definedName>
    <definedName name="__xlchart.v1.2" localSheetId="0" hidden="1">#REF!</definedName>
    <definedName name="__xlchart.v1.2" hidden="1">#REF!</definedName>
    <definedName name="__xlchart.v1.3" localSheetId="4" hidden="1">#REF!</definedName>
    <definedName name="__xlchart.v1.3" localSheetId="5" hidden="1">#REF!</definedName>
    <definedName name="__xlchart.v1.3" localSheetId="6" hidden="1">#REF!</definedName>
    <definedName name="__xlchart.v1.3" localSheetId="7" hidden="1">#REF!</definedName>
    <definedName name="__xlchart.v1.3" localSheetId="0" hidden="1">#REF!</definedName>
    <definedName name="__xlchart.v1.3" hidden="1">#REF!</definedName>
    <definedName name="__xlchart.v1.4" localSheetId="4" hidden="1">#REF!</definedName>
    <definedName name="__xlchart.v1.4" localSheetId="5" hidden="1">#REF!</definedName>
    <definedName name="__xlchart.v1.4" localSheetId="6" hidden="1">#REF!</definedName>
    <definedName name="__xlchart.v1.4" localSheetId="7" hidden="1">#REF!</definedName>
    <definedName name="__xlchart.v1.4" localSheetId="0" hidden="1">#REF!</definedName>
    <definedName name="__xlchart.v1.4" hidden="1">#REF!</definedName>
    <definedName name="__xlchart.v1.5" localSheetId="4" hidden="1">#REF!</definedName>
    <definedName name="__xlchart.v1.5" localSheetId="5" hidden="1">#REF!</definedName>
    <definedName name="__xlchart.v1.5" localSheetId="6" hidden="1">#REF!</definedName>
    <definedName name="__xlchart.v1.5" localSheetId="7" hidden="1">#REF!</definedName>
    <definedName name="__xlchart.v1.5" localSheetId="0" hidden="1">#REF!</definedName>
    <definedName name="__xlchart.v1.5" hidden="1">#REF!</definedName>
    <definedName name="__xlchart.v1.6" localSheetId="4" hidden="1">#REF!</definedName>
    <definedName name="__xlchart.v1.6" localSheetId="5" hidden="1">#REF!</definedName>
    <definedName name="__xlchart.v1.6" localSheetId="6" hidden="1">#REF!</definedName>
    <definedName name="__xlchart.v1.6" localSheetId="7" hidden="1">#REF!</definedName>
    <definedName name="__xlchart.v1.6" localSheetId="0" hidden="1">#REF!</definedName>
    <definedName name="__xlchart.v1.6" hidden="1">#REF!</definedName>
    <definedName name="__xlchart.v1.7" localSheetId="4" hidden="1">#REF!</definedName>
    <definedName name="__xlchart.v1.7" localSheetId="5" hidden="1">#REF!</definedName>
    <definedName name="__xlchart.v1.7" localSheetId="6" hidden="1">#REF!</definedName>
    <definedName name="__xlchart.v1.7" localSheetId="7" hidden="1">#REF!</definedName>
    <definedName name="__xlchart.v1.7" localSheetId="0" hidden="1">#REF!</definedName>
    <definedName name="__xlchart.v1.7" hidden="1">#REF!</definedName>
    <definedName name="_ftn1" localSheetId="4">#REF!</definedName>
    <definedName name="_ftn1" localSheetId="5">#REF!</definedName>
    <definedName name="_ftn1" localSheetId="6">#REF!</definedName>
    <definedName name="_ftn1" localSheetId="7">#REF!</definedName>
    <definedName name="_ftn1" localSheetId="0">#REF!</definedName>
    <definedName name="_ftn1">#REF!</definedName>
    <definedName name="book" localSheetId="4">#REF!</definedName>
    <definedName name="book" localSheetId="5">#REF!</definedName>
    <definedName name="book" localSheetId="6">#REF!</definedName>
    <definedName name="book" localSheetId="7">#REF!</definedName>
    <definedName name="book">#REF!</definedName>
    <definedName name="_xlnm.Print_Area" localSheetId="15">システム!$A$1:$BN$30</definedName>
    <definedName name="_xlnm.Print_Area" localSheetId="11">委託!$A$1:$BN$23</definedName>
    <definedName name="_xlnm.Print_Area" localSheetId="10">機械!$A$1:$BN$26</definedName>
    <definedName name="_xlnm.Print_Area" localSheetId="13">規格!$A$1:$BM$23</definedName>
    <definedName name="_xlnm.Print_Area" localSheetId="4">計画1!$B$1:$U$35</definedName>
    <definedName name="_xlnm.Print_Area" localSheetId="5">計画2!$A$1:$U$36</definedName>
    <definedName name="_xlnm.Print_Area" localSheetId="6">計画3!$A$1:$X$46</definedName>
    <definedName name="_xlnm.Print_Area" localSheetId="7">計画4!$A$1:$V$70</definedName>
    <definedName name="_xlnm.Print_Area" localSheetId="9">原材料!$A$1:$BN$65</definedName>
    <definedName name="_xlnm.Print_Area" localSheetId="8">工程!$A$1:$X$35</definedName>
    <definedName name="_xlnm.Print_Area" localSheetId="12">財産権!$A$1:$BM$31</definedName>
    <definedName name="_xlnm.Print_Area" localSheetId="21">資金!$A$1:$AT$42</definedName>
    <definedName name="_xlnm.Print_Area" localSheetId="1">申請者1!$A$1:$H$29</definedName>
    <definedName name="_xlnm.Print_Area" localSheetId="2">申請者2!$A$1:$L$33</definedName>
    <definedName name="_xlnm.Print_Area" localSheetId="3">申請者3!$B$1:$O$44</definedName>
    <definedName name="_xlnm.Print_Area" localSheetId="16">専門!$A$1:$BM$22</definedName>
    <definedName name="_xlnm.Print_Area" localSheetId="20">相見積一覧!$A$1:$BL$16</definedName>
    <definedName name="_xlnm.Print_Area" localSheetId="19">他!$A$1:$BO$33</definedName>
    <definedName name="_xlnm.Print_Area" localSheetId="18">販売!$A$1:$BN$31</definedName>
    <definedName name="_xlnm.Print_Area" localSheetId="0">表紙!$A$1:$O$41</definedName>
    <definedName name="we" localSheetId="4" hidden="1">#REF!</definedName>
    <definedName name="we" localSheetId="5" hidden="1">#REF!</definedName>
    <definedName name="we" localSheetId="6" hidden="1">#REF!</definedName>
    <definedName name="we" localSheetId="7" hidden="1">#REF!</definedName>
    <definedName name="we" hidden="1">#REF!</definedName>
    <definedName name="サービス業" localSheetId="4">#REF!</definedName>
    <definedName name="サービス業" localSheetId="5">#REF!</definedName>
    <definedName name="サービス業" localSheetId="6">#REF!</definedName>
    <definedName name="サービス業" localSheetId="7">#REF!</definedName>
    <definedName name="サービス業">申請者2!$P$5:$P$33</definedName>
    <definedName name="卸売業" localSheetId="4">#REF!</definedName>
    <definedName name="卸売業" localSheetId="5">#REF!</definedName>
    <definedName name="卸売業" localSheetId="6">#REF!</definedName>
    <definedName name="卸売業" localSheetId="7">#REF!</definedName>
    <definedName name="卸売業">申請者2!$O$5:$O$11</definedName>
    <definedName name="実現性2の補助3の仮" localSheetId="4" hidden="1">#REF!</definedName>
    <definedName name="実現性2の補助3の仮" localSheetId="5" hidden="1">#REF!</definedName>
    <definedName name="実現性2の補助3の仮" localSheetId="6" hidden="1">#REF!</definedName>
    <definedName name="実現性2の補助3の仮" localSheetId="7" hidden="1">#REF!</definedName>
    <definedName name="実現性2の補助3の仮" localSheetId="0" hidden="1">#REF!</definedName>
    <definedName name="実現性2の補助3の仮" hidden="1">#REF!</definedName>
    <definedName name="小売業" localSheetId="4">#REF!</definedName>
    <definedName name="小売業" localSheetId="5">#REF!</definedName>
    <definedName name="小売業" localSheetId="6">#REF!</definedName>
    <definedName name="小売業" localSheetId="7">#REF!</definedName>
    <definedName name="小売業">申請者2!$Q$5:$Q$15</definedName>
    <definedName name="製造業その他" localSheetId="4">#REF!</definedName>
    <definedName name="製造業その他" localSheetId="5">#REF!</definedName>
    <definedName name="製造業その他" localSheetId="6">#REF!</definedName>
    <definedName name="製造業その他" localSheetId="7">#REF!</definedName>
    <definedName name="製造業その他" localSheetId="0">#REF!</definedName>
    <definedName name="製造業その他">申請者2!$N$5:$N$65</definedName>
    <definedName name="要件確認" localSheetId="4">#REF!</definedName>
    <definedName name="要件確認" localSheetId="5">#REF!</definedName>
    <definedName name="要件確認" localSheetId="6">#REF!</definedName>
    <definedName name="要件確認" localSheetId="7">#REF!</definedName>
    <definedName name="要件確認">#REF!</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K60" i="53" l="1"/>
  <c r="AY60" i="53"/>
  <c r="AS60" i="53"/>
  <c r="BH60" i="53" s="1"/>
  <c r="BK59" i="53"/>
  <c r="AY59" i="53"/>
  <c r="AS59" i="53"/>
  <c r="BH59" i="53" s="1"/>
  <c r="BK61" i="53"/>
  <c r="AY61" i="53"/>
  <c r="AS61" i="53"/>
  <c r="BH61" i="53" s="1"/>
  <c r="BK47" i="53"/>
  <c r="AY47" i="53"/>
  <c r="AS47" i="53"/>
  <c r="BH47" i="53" s="1"/>
  <c r="BK46" i="53"/>
  <c r="AY46" i="53"/>
  <c r="AS46" i="53"/>
  <c r="BE46" i="53" s="1"/>
  <c r="BK45" i="53"/>
  <c r="AY45" i="53"/>
  <c r="AS45" i="53"/>
  <c r="BE45" i="53" s="1"/>
  <c r="BK44" i="53"/>
  <c r="AY44" i="53"/>
  <c r="AS44" i="53"/>
  <c r="BE44" i="53" s="1"/>
  <c r="BK43" i="53"/>
  <c r="AY43" i="53"/>
  <c r="AS43" i="53"/>
  <c r="BE43" i="53" s="1"/>
  <c r="BK42" i="53"/>
  <c r="AY42" i="53"/>
  <c r="AS42" i="53"/>
  <c r="BH42" i="53" s="1"/>
  <c r="BK41" i="53"/>
  <c r="AY41" i="53"/>
  <c r="AS41" i="53"/>
  <c r="BE41" i="53" s="1"/>
  <c r="BK40" i="53"/>
  <c r="AY40" i="53"/>
  <c r="AS40" i="53"/>
  <c r="BH40" i="53" s="1"/>
  <c r="BK39" i="53"/>
  <c r="AY39" i="53"/>
  <c r="AS39" i="53"/>
  <c r="BH39" i="53" s="1"/>
  <c r="BK38" i="53"/>
  <c r="AY38" i="53"/>
  <c r="AS38" i="53"/>
  <c r="BE38" i="53" s="1"/>
  <c r="BK37" i="53"/>
  <c r="AY37" i="53"/>
  <c r="AS37" i="53"/>
  <c r="BH37" i="53" s="1"/>
  <c r="BK36" i="53"/>
  <c r="AY36" i="53"/>
  <c r="AS36" i="53"/>
  <c r="BE36" i="53" s="1"/>
  <c r="BK53" i="53"/>
  <c r="AY53" i="53"/>
  <c r="AS53" i="53"/>
  <c r="BH53" i="53" s="1"/>
  <c r="BK52" i="53"/>
  <c r="AY52" i="53"/>
  <c r="AS52" i="53"/>
  <c r="BE52" i="53" s="1"/>
  <c r="BK51" i="53"/>
  <c r="AY51" i="53"/>
  <c r="AS51" i="53"/>
  <c r="BE51" i="53" s="1"/>
  <c r="BK50" i="53"/>
  <c r="AY50" i="53"/>
  <c r="AS50" i="53"/>
  <c r="BE50" i="53" s="1"/>
  <c r="BK49" i="53"/>
  <c r="AY49" i="53"/>
  <c r="AS49" i="53"/>
  <c r="BH49" i="53" s="1"/>
  <c r="BK48" i="53"/>
  <c r="AY48" i="53"/>
  <c r="AS48" i="53"/>
  <c r="BH48" i="53" s="1"/>
  <c r="BK56" i="53"/>
  <c r="AY56" i="53"/>
  <c r="AS56" i="53"/>
  <c r="BH56" i="53" s="1"/>
  <c r="BK55" i="53"/>
  <c r="AY55" i="53"/>
  <c r="AS55" i="53"/>
  <c r="BH55" i="53" s="1"/>
  <c r="BK54" i="53"/>
  <c r="AY54" i="53"/>
  <c r="AS54" i="53"/>
  <c r="BE54" i="53" s="1"/>
  <c r="BK34" i="53"/>
  <c r="AY34" i="53"/>
  <c r="AS34" i="53"/>
  <c r="BH34" i="53" s="1"/>
  <c r="BK33" i="53"/>
  <c r="AY33" i="53"/>
  <c r="AS33" i="53"/>
  <c r="BH33" i="53" s="1"/>
  <c r="BK32" i="53"/>
  <c r="AY32" i="53"/>
  <c r="AS32" i="53"/>
  <c r="BE32" i="53" s="1"/>
  <c r="BK31" i="53"/>
  <c r="AY31" i="53"/>
  <c r="AS31" i="53"/>
  <c r="BE31" i="53" s="1"/>
  <c r="BK57" i="53"/>
  <c r="AY57" i="53"/>
  <c r="AS57" i="53"/>
  <c r="BH57" i="53" s="1"/>
  <c r="BK35" i="53"/>
  <c r="AY35" i="53"/>
  <c r="AS35" i="53"/>
  <c r="BH35" i="53" s="1"/>
  <c r="BK58" i="53"/>
  <c r="AY58" i="53"/>
  <c r="AS58" i="53"/>
  <c r="BH58" i="53" s="1"/>
  <c r="BK28" i="53"/>
  <c r="AY28" i="53"/>
  <c r="AS28" i="53"/>
  <c r="BH28" i="53" s="1"/>
  <c r="BK27" i="53"/>
  <c r="AY27" i="53"/>
  <c r="AS27" i="53"/>
  <c r="BH27" i="53" s="1"/>
  <c r="BK26" i="53"/>
  <c r="AY26" i="53"/>
  <c r="AS26" i="53"/>
  <c r="BE26" i="53" s="1"/>
  <c r="BK25" i="53"/>
  <c r="AY25" i="53"/>
  <c r="AS25" i="53"/>
  <c r="BH25" i="53" s="1"/>
  <c r="BK24" i="53"/>
  <c r="AY24" i="53"/>
  <c r="AS24" i="53"/>
  <c r="BH24" i="53" s="1"/>
  <c r="BK29" i="53"/>
  <c r="AY29" i="53"/>
  <c r="AS29" i="53"/>
  <c r="BH29" i="53" s="1"/>
  <c r="BK23" i="53"/>
  <c r="AY23" i="53"/>
  <c r="AS23" i="53"/>
  <c r="BH23" i="53" s="1"/>
  <c r="BK22" i="53"/>
  <c r="AY22" i="53"/>
  <c r="AS22" i="53"/>
  <c r="BE22" i="53" s="1"/>
  <c r="BK21" i="53"/>
  <c r="AY21" i="53"/>
  <c r="AS21" i="53"/>
  <c r="BE21" i="53" s="1"/>
  <c r="F5" i="2"/>
  <c r="BE59" i="53" l="1"/>
  <c r="BE60" i="53"/>
  <c r="BE61" i="53"/>
  <c r="BH45" i="53"/>
  <c r="BH43" i="53"/>
  <c r="BH38" i="53"/>
  <c r="BH46" i="53"/>
  <c r="BE37" i="53"/>
  <c r="BH44" i="53"/>
  <c r="BE42" i="53"/>
  <c r="BH41" i="53"/>
  <c r="BE47" i="53"/>
  <c r="BH36" i="53"/>
  <c r="BE39" i="53"/>
  <c r="BE40" i="53"/>
  <c r="BE49" i="53"/>
  <c r="BH51" i="53"/>
  <c r="BH50" i="53"/>
  <c r="BE48" i="53"/>
  <c r="BE53" i="53"/>
  <c r="BH52" i="53"/>
  <c r="BH54" i="53"/>
  <c r="BE55" i="53"/>
  <c r="BE56" i="53"/>
  <c r="BH32" i="53"/>
  <c r="BH31" i="53"/>
  <c r="BE33" i="53"/>
  <c r="BE34" i="53"/>
  <c r="BE35" i="53"/>
  <c r="BE57" i="53"/>
  <c r="BE58" i="53"/>
  <c r="BH26" i="53"/>
  <c r="BE24" i="53"/>
  <c r="BE28" i="53"/>
  <c r="BE27" i="53"/>
  <c r="BE25" i="53"/>
  <c r="BH22" i="53"/>
  <c r="BE29" i="53"/>
  <c r="BE23" i="53"/>
  <c r="BH21" i="53"/>
  <c r="AF2" i="51"/>
  <c r="AF3" i="51" s="1"/>
  <c r="K32" i="3" l="1"/>
  <c r="J32" i="3"/>
  <c r="C19" i="2" l="1"/>
  <c r="C21" i="2"/>
  <c r="C18" i="2"/>
  <c r="B16" i="2"/>
  <c r="B12" i="2"/>
  <c r="B9" i="2"/>
  <c r="H8" i="2"/>
  <c r="D7" i="52" l="1"/>
  <c r="P24" i="63" l="1"/>
  <c r="P25" i="63"/>
  <c r="P26" i="63"/>
  <c r="P27" i="63"/>
  <c r="P28" i="63"/>
  <c r="P29" i="63"/>
  <c r="P30" i="63"/>
  <c r="P31" i="63"/>
  <c r="P32" i="63"/>
  <c r="P33" i="63"/>
  <c r="M29" i="51" l="1"/>
  <c r="AY11" i="63" l="1"/>
  <c r="AY12" i="63"/>
  <c r="AY13" i="63"/>
  <c r="AY14" i="63"/>
  <c r="AY15" i="63"/>
  <c r="AY16" i="63"/>
  <c r="AY17" i="63"/>
  <c r="AY18" i="63"/>
  <c r="AY19" i="63"/>
  <c r="AY10" i="63"/>
  <c r="AS10" i="63"/>
  <c r="BE10" i="63" s="1"/>
  <c r="AY11" i="62"/>
  <c r="AY12" i="62"/>
  <c r="AY13" i="62"/>
  <c r="AY14" i="62"/>
  <c r="AY15" i="62"/>
  <c r="AY16" i="62"/>
  <c r="AY17" i="62"/>
  <c r="AY18" i="62"/>
  <c r="AY19" i="62"/>
  <c r="AY10" i="62"/>
  <c r="AS10" i="62"/>
  <c r="AY11" i="61"/>
  <c r="AY12" i="61"/>
  <c r="AY13" i="61"/>
  <c r="AY14" i="61"/>
  <c r="AY10" i="61"/>
  <c r="AS10" i="61"/>
  <c r="AY11" i="60"/>
  <c r="AY12" i="60"/>
  <c r="AY13" i="60"/>
  <c r="AY14" i="60"/>
  <c r="AY10" i="60"/>
  <c r="AS10" i="60"/>
  <c r="AY12" i="59"/>
  <c r="AY13" i="59"/>
  <c r="AY14" i="59"/>
  <c r="AY15" i="59"/>
  <c r="AY16" i="59"/>
  <c r="AY17" i="59"/>
  <c r="AY18" i="59"/>
  <c r="AY19" i="59"/>
  <c r="AY20" i="59"/>
  <c r="AY11" i="59"/>
  <c r="AS11" i="59"/>
  <c r="AY11" i="58"/>
  <c r="AY12" i="58"/>
  <c r="AY13" i="58"/>
  <c r="AY14" i="58"/>
  <c r="AY15" i="58"/>
  <c r="AY16" i="58"/>
  <c r="AY17" i="58"/>
  <c r="AY18" i="58"/>
  <c r="AY19" i="58"/>
  <c r="AY10" i="58"/>
  <c r="AY11" i="57"/>
  <c r="AY12" i="57"/>
  <c r="AY13" i="57"/>
  <c r="AY14" i="57"/>
  <c r="AY10" i="57"/>
  <c r="AY11" i="56"/>
  <c r="AY12" i="56"/>
  <c r="AY13" i="56"/>
  <c r="AY14" i="56"/>
  <c r="AY10" i="56"/>
  <c r="AY11" i="55"/>
  <c r="AY12" i="55"/>
  <c r="AY13" i="55"/>
  <c r="AY14" i="55"/>
  <c r="AY10" i="55"/>
  <c r="AY12" i="54"/>
  <c r="AY13" i="54"/>
  <c r="AY14" i="54"/>
  <c r="AY15" i="54"/>
  <c r="AY11" i="54"/>
  <c r="AY11" i="53"/>
  <c r="AY12" i="53"/>
  <c r="AY13" i="53"/>
  <c r="AY14" i="53"/>
  <c r="AY15" i="53"/>
  <c r="AY16" i="53"/>
  <c r="AY17" i="53"/>
  <c r="AY18" i="53"/>
  <c r="AY19" i="53"/>
  <c r="AY20" i="53"/>
  <c r="AY30" i="53"/>
  <c r="AY62" i="53"/>
  <c r="AY63" i="53"/>
  <c r="AY64" i="53"/>
  <c r="AY10" i="53"/>
  <c r="AS10" i="58"/>
  <c r="AS10" i="57"/>
  <c r="AS10" i="56"/>
  <c r="AS10" i="55"/>
  <c r="AS11" i="54"/>
  <c r="AS10" i="53"/>
  <c r="AY20" i="58" l="1"/>
  <c r="BE10" i="62"/>
  <c r="AY20" i="62"/>
  <c r="AY21" i="59"/>
  <c r="BK19" i="63"/>
  <c r="AS19" i="63"/>
  <c r="BE19" i="63" s="1"/>
  <c r="BK18" i="63"/>
  <c r="AS18" i="63"/>
  <c r="BK17" i="63"/>
  <c r="AS17" i="63"/>
  <c r="BK16" i="63"/>
  <c r="AS16" i="63"/>
  <c r="BK15" i="63"/>
  <c r="AS15" i="63"/>
  <c r="BE15" i="63" s="1"/>
  <c r="BK14" i="63"/>
  <c r="AS14" i="63"/>
  <c r="BE14" i="63" s="1"/>
  <c r="BK13" i="63"/>
  <c r="AS13" i="63"/>
  <c r="BK12" i="63"/>
  <c r="AS12" i="63"/>
  <c r="BE12" i="63" s="1"/>
  <c r="BK11" i="63"/>
  <c r="AS11" i="63"/>
  <c r="BE11" i="63" s="1"/>
  <c r="BK10" i="63"/>
  <c r="BH10" i="63"/>
  <c r="BK19" i="62"/>
  <c r="AS19" i="62"/>
  <c r="BK18" i="62"/>
  <c r="AS18" i="62"/>
  <c r="BH18" i="62" s="1"/>
  <c r="BK17" i="62"/>
  <c r="AS17" i="62"/>
  <c r="BH17" i="62" s="1"/>
  <c r="BK16" i="62"/>
  <c r="AS16" i="62"/>
  <c r="BE16" i="62" s="1"/>
  <c r="BK15" i="62"/>
  <c r="AS15" i="62"/>
  <c r="BE15" i="62" s="1"/>
  <c r="BK14" i="62"/>
  <c r="AS14" i="62"/>
  <c r="BH14" i="62" s="1"/>
  <c r="BK13" i="62"/>
  <c r="AS13" i="62"/>
  <c r="BH13" i="62" s="1"/>
  <c r="BK12" i="62"/>
  <c r="AS12" i="62"/>
  <c r="BH12" i="62" s="1"/>
  <c r="BK11" i="62"/>
  <c r="AS11" i="62"/>
  <c r="BH11" i="62" s="1"/>
  <c r="BK10" i="62"/>
  <c r="BH10" i="62"/>
  <c r="BK14" i="61"/>
  <c r="AS14" i="61"/>
  <c r="BE14" i="61" s="1"/>
  <c r="BK13" i="61"/>
  <c r="AS13" i="61"/>
  <c r="BE13" i="61" s="1"/>
  <c r="BK12" i="61"/>
  <c r="AS12" i="61"/>
  <c r="BE12" i="61" s="1"/>
  <c r="BK11" i="61"/>
  <c r="AS11" i="61"/>
  <c r="BH11" i="61" s="1"/>
  <c r="BK10" i="61"/>
  <c r="BK14" i="60"/>
  <c r="AS14" i="60"/>
  <c r="BH14" i="60" s="1"/>
  <c r="BK13" i="60"/>
  <c r="AS13" i="60"/>
  <c r="BH13" i="60" s="1"/>
  <c r="BK12" i="60"/>
  <c r="AS12" i="60"/>
  <c r="BH12" i="60" s="1"/>
  <c r="BK11" i="60"/>
  <c r="AS11" i="60"/>
  <c r="BH11" i="60" s="1"/>
  <c r="BK10" i="60"/>
  <c r="BE10" i="60"/>
  <c r="BK20" i="59"/>
  <c r="AS20" i="59"/>
  <c r="BH20" i="59" s="1"/>
  <c r="BK19" i="59"/>
  <c r="AS19" i="59"/>
  <c r="BH19" i="59" s="1"/>
  <c r="BK18" i="59"/>
  <c r="AS18" i="59"/>
  <c r="BH18" i="59" s="1"/>
  <c r="BK17" i="59"/>
  <c r="AS17" i="59"/>
  <c r="BH17" i="59" s="1"/>
  <c r="BK16" i="59"/>
  <c r="AS16" i="59"/>
  <c r="BH16" i="59" s="1"/>
  <c r="BK15" i="59"/>
  <c r="AS15" i="59"/>
  <c r="BH15" i="59" s="1"/>
  <c r="BK14" i="59"/>
  <c r="AS14" i="59"/>
  <c r="BE14" i="59" s="1"/>
  <c r="BK13" i="59"/>
  <c r="AS13" i="59"/>
  <c r="BE13" i="59" s="1"/>
  <c r="BK12" i="59"/>
  <c r="AS12" i="59"/>
  <c r="BH12" i="59" s="1"/>
  <c r="BK11" i="59"/>
  <c r="BE11" i="59"/>
  <c r="BK19" i="58"/>
  <c r="AS19" i="58"/>
  <c r="BE19" i="58" s="1"/>
  <c r="BK18" i="58"/>
  <c r="AS18" i="58"/>
  <c r="BH18" i="58" s="1"/>
  <c r="BK17" i="58"/>
  <c r="AS17" i="58"/>
  <c r="BH17" i="58" s="1"/>
  <c r="BK16" i="58"/>
  <c r="AS16" i="58"/>
  <c r="BH16" i="58" s="1"/>
  <c r="BK15" i="58"/>
  <c r="AS15" i="58"/>
  <c r="BE15" i="58" s="1"/>
  <c r="BK14" i="58"/>
  <c r="AS14" i="58"/>
  <c r="BH14" i="58" s="1"/>
  <c r="BK13" i="58"/>
  <c r="AS13" i="58"/>
  <c r="BE13" i="58" s="1"/>
  <c r="BK12" i="58"/>
  <c r="AS12" i="58"/>
  <c r="BE12" i="58" s="1"/>
  <c r="BK11" i="58"/>
  <c r="AS11" i="58"/>
  <c r="BE11" i="58" s="1"/>
  <c r="BK10" i="58"/>
  <c r="BK14" i="57"/>
  <c r="AS14" i="57"/>
  <c r="BH14" i="57" s="1"/>
  <c r="BK13" i="57"/>
  <c r="AS13" i="57"/>
  <c r="BE13" i="57" s="1"/>
  <c r="BK12" i="57"/>
  <c r="AS12" i="57"/>
  <c r="BE12" i="57" s="1"/>
  <c r="BK11" i="57"/>
  <c r="AS11" i="57"/>
  <c r="BE11" i="57" s="1"/>
  <c r="BK10" i="57"/>
  <c r="BK14" i="56"/>
  <c r="AS14" i="56"/>
  <c r="BH14" i="56" s="1"/>
  <c r="BK13" i="56"/>
  <c r="AS13" i="56"/>
  <c r="BH13" i="56" s="1"/>
  <c r="BK12" i="56"/>
  <c r="AS12" i="56"/>
  <c r="BH12" i="56" s="1"/>
  <c r="BK11" i="56"/>
  <c r="AS11" i="56"/>
  <c r="BH11" i="56" s="1"/>
  <c r="BK10" i="56"/>
  <c r="BE10" i="56"/>
  <c r="BH10" i="56"/>
  <c r="BK14" i="55"/>
  <c r="AS14" i="55"/>
  <c r="BH14" i="55" s="1"/>
  <c r="BK13" i="55"/>
  <c r="AS13" i="55"/>
  <c r="BE13" i="55" s="1"/>
  <c r="BK12" i="55"/>
  <c r="AS12" i="55"/>
  <c r="BE12" i="55" s="1"/>
  <c r="BK11" i="55"/>
  <c r="AS11" i="55"/>
  <c r="BE11" i="55" s="1"/>
  <c r="BK10" i="55"/>
  <c r="BK15" i="54"/>
  <c r="AS15" i="54"/>
  <c r="BH15" i="54" s="1"/>
  <c r="BK14" i="54"/>
  <c r="AS14" i="54"/>
  <c r="BE14" i="54" s="1"/>
  <c r="BK13" i="54"/>
  <c r="AS13" i="54"/>
  <c r="BH13" i="54" s="1"/>
  <c r="BK12" i="54"/>
  <c r="AS12" i="54"/>
  <c r="BE12" i="54" s="1"/>
  <c r="BK11" i="54"/>
  <c r="BK64" i="53"/>
  <c r="AS64" i="53"/>
  <c r="BH64" i="53" s="1"/>
  <c r="BK63" i="53"/>
  <c r="AS63" i="53"/>
  <c r="BH63" i="53" s="1"/>
  <c r="BK62" i="53"/>
  <c r="AS62" i="53"/>
  <c r="BH62" i="53" s="1"/>
  <c r="BK30" i="53"/>
  <c r="AS30" i="53"/>
  <c r="BH30" i="53" s="1"/>
  <c r="BK20" i="53"/>
  <c r="AS20" i="53"/>
  <c r="BE20" i="53" s="1"/>
  <c r="BK19" i="53"/>
  <c r="AS19" i="53"/>
  <c r="BH19" i="53" s="1"/>
  <c r="BK18" i="53"/>
  <c r="AS18" i="53"/>
  <c r="BH18" i="53" s="1"/>
  <c r="BK17" i="53"/>
  <c r="AS17" i="53"/>
  <c r="BH17" i="53" s="1"/>
  <c r="BK16" i="53"/>
  <c r="AS16" i="53"/>
  <c r="BE16" i="53" s="1"/>
  <c r="BK15" i="53"/>
  <c r="AS15" i="53"/>
  <c r="BH15" i="53" s="1"/>
  <c r="BK14" i="53"/>
  <c r="AS14" i="53"/>
  <c r="BH14" i="53" s="1"/>
  <c r="BK13" i="53"/>
  <c r="AS13" i="53"/>
  <c r="BE13" i="53" s="1"/>
  <c r="BK12" i="53"/>
  <c r="AS12" i="53"/>
  <c r="BE12" i="53" s="1"/>
  <c r="BK11" i="53"/>
  <c r="AS11" i="53"/>
  <c r="BH11" i="53" s="1"/>
  <c r="BK10" i="53"/>
  <c r="BE10" i="53"/>
  <c r="BE30" i="53" l="1"/>
  <c r="BH13" i="53"/>
  <c r="BE17" i="53"/>
  <c r="AS65" i="53"/>
  <c r="Z7" i="51" s="1"/>
  <c r="AJ7" i="51" s="1"/>
  <c r="BH12" i="58"/>
  <c r="BH18" i="63"/>
  <c r="BE18" i="63"/>
  <c r="BE14" i="53"/>
  <c r="BH19" i="62"/>
  <c r="BE19" i="62"/>
  <c r="BH19" i="63"/>
  <c r="BH12" i="53"/>
  <c r="BH16" i="53"/>
  <c r="BH15" i="63"/>
  <c r="BH15" i="58"/>
  <c r="BH11" i="63"/>
  <c r="BH16" i="63"/>
  <c r="BE16" i="63"/>
  <c r="BE18" i="53"/>
  <c r="AS20" i="58"/>
  <c r="AS20" i="62"/>
  <c r="Z16" i="51" s="1"/>
  <c r="AJ16" i="51" s="1"/>
  <c r="BH13" i="63"/>
  <c r="BE13" i="63"/>
  <c r="BH14" i="63"/>
  <c r="BH20" i="53"/>
  <c r="BH12" i="63"/>
  <c r="BH17" i="63"/>
  <c r="BE17" i="63"/>
  <c r="BH14" i="59"/>
  <c r="AS21" i="59"/>
  <c r="BE18" i="59"/>
  <c r="BE15" i="59"/>
  <c r="BE19" i="59"/>
  <c r="Z12" i="51"/>
  <c r="AJ12" i="51" s="1"/>
  <c r="BH13" i="58"/>
  <c r="BE16" i="58"/>
  <c r="BH19" i="58"/>
  <c r="BH11" i="58"/>
  <c r="BE17" i="58"/>
  <c r="BE13" i="56"/>
  <c r="AS15" i="56"/>
  <c r="Z10" i="51" s="1"/>
  <c r="AJ10" i="51" s="1"/>
  <c r="BE17" i="62"/>
  <c r="BE14" i="62"/>
  <c r="BE13" i="62"/>
  <c r="BH16" i="62"/>
  <c r="AS15" i="61"/>
  <c r="Z15" i="51" s="1"/>
  <c r="AJ15" i="51" s="1"/>
  <c r="BE11" i="61"/>
  <c r="BH14" i="61"/>
  <c r="BE12" i="60"/>
  <c r="AS15" i="57"/>
  <c r="Z11" i="51" s="1"/>
  <c r="AJ11" i="51" s="1"/>
  <c r="BH13" i="57"/>
  <c r="BH11" i="57"/>
  <c r="BH11" i="55"/>
  <c r="AS15" i="55"/>
  <c r="Z9" i="51" s="1"/>
  <c r="AJ9" i="51" s="1"/>
  <c r="BH13" i="55"/>
  <c r="BH14" i="54"/>
  <c r="AS16" i="54"/>
  <c r="Z8" i="51" s="1"/>
  <c r="AJ8" i="51" s="1"/>
  <c r="BH12" i="54"/>
  <c r="Z13" i="51"/>
  <c r="AJ13" i="51" s="1"/>
  <c r="BE11" i="54"/>
  <c r="AS20" i="63"/>
  <c r="Z17" i="51" s="1"/>
  <c r="AJ17" i="51" s="1"/>
  <c r="BE12" i="62"/>
  <c r="BH15" i="62"/>
  <c r="BE11" i="62"/>
  <c r="BE18" i="62"/>
  <c r="BH13" i="61"/>
  <c r="BH10" i="61"/>
  <c r="AY15" i="61"/>
  <c r="P15" i="51" s="1"/>
  <c r="BE10" i="61"/>
  <c r="BH12" i="61"/>
  <c r="BH10" i="60"/>
  <c r="BE14" i="60"/>
  <c r="BE11" i="60"/>
  <c r="BE13" i="60"/>
  <c r="AS15" i="60"/>
  <c r="Z14" i="51" s="1"/>
  <c r="AJ14" i="51" s="1"/>
  <c r="BH13" i="59"/>
  <c r="BE12" i="59"/>
  <c r="BE20" i="59"/>
  <c r="BE17" i="59"/>
  <c r="BH11" i="59"/>
  <c r="BE16" i="59"/>
  <c r="BE14" i="58"/>
  <c r="P12" i="51"/>
  <c r="BE10" i="58"/>
  <c r="BE18" i="58"/>
  <c r="BH10" i="58"/>
  <c r="BH10" i="57"/>
  <c r="BH12" i="57"/>
  <c r="BE14" i="57"/>
  <c r="BE10" i="57"/>
  <c r="AY15" i="57"/>
  <c r="P11" i="51" s="1"/>
  <c r="BE12" i="56"/>
  <c r="AY15" i="56"/>
  <c r="P10" i="51" s="1"/>
  <c r="BE14" i="56"/>
  <c r="BE11" i="56"/>
  <c r="BH10" i="55"/>
  <c r="BH12" i="55"/>
  <c r="BE10" i="55"/>
  <c r="BE14" i="55"/>
  <c r="AY15" i="55"/>
  <c r="P9" i="51" s="1"/>
  <c r="BH11" i="54"/>
  <c r="BE13" i="54"/>
  <c r="BE15" i="54"/>
  <c r="AY65" i="53"/>
  <c r="P7" i="51" s="1"/>
  <c r="BE62" i="53"/>
  <c r="BE11" i="53"/>
  <c r="BE19" i="53"/>
  <c r="BE64" i="53"/>
  <c r="BH10" i="53"/>
  <c r="BE15" i="53"/>
  <c r="BE63" i="53"/>
  <c r="AJ19" i="51" l="1"/>
  <c r="C34" i="40" s="1"/>
  <c r="P16" i="51"/>
  <c r="Z19" i="51"/>
  <c r="P13" i="51"/>
  <c r="AY20" i="63"/>
  <c r="P17" i="51" s="1"/>
  <c r="AY15" i="60"/>
  <c r="P14" i="51" s="1"/>
  <c r="AY16" i="54"/>
  <c r="P8" i="51" s="1"/>
  <c r="P19" i="51" l="1"/>
  <c r="I11" i="3"/>
</calcChain>
</file>

<file path=xl/sharedStrings.xml><?xml version="1.0" encoding="utf-8"?>
<sst xmlns="http://schemas.openxmlformats.org/spreadsheetml/2006/main" count="1375" uniqueCount="784">
  <si>
    <t>１．申請者の概要</t>
    <rPh sb="2" eb="5">
      <t>シンセイシャ</t>
    </rPh>
    <rPh sb="6" eb="8">
      <t>ガイヨウ</t>
    </rPh>
    <phoneticPr fontId="42"/>
  </si>
  <si>
    <t>申請区分
（個人事業主、法人）</t>
    <rPh sb="0" eb="4">
      <t>シンセイクブン</t>
    </rPh>
    <rPh sb="6" eb="11">
      <t>コジンジギョウヌシ</t>
    </rPh>
    <rPh sb="12" eb="14">
      <t>ホウジン</t>
    </rPh>
    <phoneticPr fontId="42"/>
  </si>
  <si>
    <t>＜個人事業主＞</t>
    <rPh sb="1" eb="3">
      <t>コジン</t>
    </rPh>
    <rPh sb="3" eb="6">
      <t>ジギョウヌシ</t>
    </rPh>
    <phoneticPr fontId="42"/>
  </si>
  <si>
    <t>フリガナ</t>
    <phoneticPr fontId="42"/>
  </si>
  <si>
    <t>申請者氏名</t>
    <rPh sb="0" eb="3">
      <t>シンセイシャ</t>
    </rPh>
    <rPh sb="3" eb="5">
      <t>シメイ</t>
    </rPh>
    <phoneticPr fontId="42"/>
  </si>
  <si>
    <t>TEL</t>
    <phoneticPr fontId="42"/>
  </si>
  <si>
    <t>郵便番号</t>
    <rPh sb="0" eb="4">
      <t>ユウビンバンゴウ</t>
    </rPh>
    <phoneticPr fontId="42"/>
  </si>
  <si>
    <t>　　〒　　　　　－</t>
    <phoneticPr fontId="42"/>
  </si>
  <si>
    <t>E-mail</t>
    <phoneticPr fontId="42"/>
  </si>
  <si>
    <t>住所</t>
    <rPh sb="0" eb="2">
      <t>ジュウショ</t>
    </rPh>
    <phoneticPr fontId="42"/>
  </si>
  <si>
    <t>＜法人＞</t>
    <rPh sb="1" eb="3">
      <t>ホウジン</t>
    </rPh>
    <phoneticPr fontId="42"/>
  </si>
  <si>
    <t>法人名</t>
    <rPh sb="0" eb="3">
      <t>ホウジンメイ</t>
    </rPh>
    <phoneticPr fontId="42"/>
  </si>
  <si>
    <t>本店所在地</t>
    <rPh sb="0" eb="5">
      <t>ホンテンショザイチ</t>
    </rPh>
    <phoneticPr fontId="42"/>
  </si>
  <si>
    <t>法人代表者</t>
    <rPh sb="0" eb="2">
      <t>ホウジン</t>
    </rPh>
    <rPh sb="2" eb="5">
      <t>ダイヒョウシャ</t>
    </rPh>
    <phoneticPr fontId="42"/>
  </si>
  <si>
    <t>生年月日</t>
    <rPh sb="0" eb="4">
      <t>セイネンガッピ</t>
    </rPh>
    <phoneticPr fontId="42"/>
  </si>
  <si>
    <t>氏名</t>
    <rPh sb="0" eb="2">
      <t>シメイ</t>
    </rPh>
    <phoneticPr fontId="42"/>
  </si>
  <si>
    <t>役職</t>
    <rPh sb="0" eb="2">
      <t>ヤクショク</t>
    </rPh>
    <phoneticPr fontId="42"/>
  </si>
  <si>
    <t>雇用形態</t>
    <rPh sb="0" eb="4">
      <t>コヨウケイタイ</t>
    </rPh>
    <phoneticPr fontId="42"/>
  </si>
  <si>
    <t>TEL</t>
  </si>
  <si>
    <t>E-mail</t>
  </si>
  <si>
    <r>
      <t xml:space="preserve">都内登記
所在地
</t>
    </r>
    <r>
      <rPr>
        <sz val="10"/>
        <color theme="1"/>
        <rFont val="游ゴシック"/>
        <family val="3"/>
        <charset val="128"/>
        <scheme val="minor"/>
      </rPr>
      <t>※本店所在地が都外の場合のみ</t>
    </r>
    <rPh sb="0" eb="2">
      <t>トナイ</t>
    </rPh>
    <rPh sb="2" eb="4">
      <t>トウキ</t>
    </rPh>
    <rPh sb="5" eb="8">
      <t>ショザイチ</t>
    </rPh>
    <phoneticPr fontId="42"/>
  </si>
  <si>
    <t>〒　　　　　－</t>
    <phoneticPr fontId="41"/>
  </si>
  <si>
    <r>
      <t xml:space="preserve">連絡担当者
</t>
    </r>
    <r>
      <rPr>
        <sz val="9"/>
        <color theme="1"/>
        <rFont val="游ゴシック"/>
        <family val="3"/>
        <charset val="128"/>
        <scheme val="minor"/>
      </rPr>
      <t>※代表者と
異なる場合のみ</t>
    </r>
    <rPh sb="0" eb="5">
      <t>レンラクタントウシャ</t>
    </rPh>
    <rPh sb="7" eb="10">
      <t>ダイヒョウシャ</t>
    </rPh>
    <rPh sb="12" eb="13">
      <t>コト</t>
    </rPh>
    <rPh sb="15" eb="17">
      <t>バアイ</t>
    </rPh>
    <phoneticPr fontId="42"/>
  </si>
  <si>
    <t>部署・役職</t>
    <rPh sb="0" eb="2">
      <t>ブショ</t>
    </rPh>
    <rPh sb="3" eb="5">
      <t>ヤクショク</t>
    </rPh>
    <phoneticPr fontId="42"/>
  </si>
  <si>
    <t>屋号</t>
    <rPh sb="0" eb="2">
      <t>ヤゴウ</t>
    </rPh>
    <phoneticPr fontId="42"/>
  </si>
  <si>
    <t>事業開始</t>
    <rPh sb="0" eb="4">
      <t>ジギョウカイシ</t>
    </rPh>
    <phoneticPr fontId="42"/>
  </si>
  <si>
    <t>創業
（和暦）</t>
    <rPh sb="0" eb="2">
      <t>ソウギョウ</t>
    </rPh>
    <rPh sb="4" eb="6">
      <t>ワレキ</t>
    </rPh>
    <phoneticPr fontId="42"/>
  </si>
  <si>
    <t>資本金</t>
    <rPh sb="0" eb="3">
      <t>シホンキン</t>
    </rPh>
    <phoneticPr fontId="42"/>
  </si>
  <si>
    <t>法人設立
（和暦）</t>
    <rPh sb="0" eb="4">
      <t>ホウジンセツリツ</t>
    </rPh>
    <rPh sb="6" eb="8">
      <t>ワレキ</t>
    </rPh>
    <phoneticPr fontId="42"/>
  </si>
  <si>
    <t>役員数</t>
    <rPh sb="0" eb="3">
      <t>ヤクインスウ</t>
    </rPh>
    <phoneticPr fontId="42"/>
  </si>
  <si>
    <t>従業員数</t>
    <rPh sb="0" eb="4">
      <t>ジュウギョウインスウ</t>
    </rPh>
    <phoneticPr fontId="42"/>
  </si>
  <si>
    <t>現在の事業概要　　
※業種、業態、特徴等を出来るだけ詳細にご記入ください。</t>
    <rPh sb="0" eb="2">
      <t>ゲンザイ</t>
    </rPh>
    <rPh sb="3" eb="7">
      <t>ジギョウガイヨウ</t>
    </rPh>
    <rPh sb="11" eb="13">
      <t>ギョウシュ</t>
    </rPh>
    <rPh sb="14" eb="16">
      <t>ギョウタイ</t>
    </rPh>
    <rPh sb="17" eb="20">
      <t>トクチョウナド</t>
    </rPh>
    <rPh sb="21" eb="23">
      <t>デキ</t>
    </rPh>
    <rPh sb="26" eb="28">
      <t>ショウサイ</t>
    </rPh>
    <rPh sb="30" eb="32">
      <t>キニュウ</t>
    </rPh>
    <phoneticPr fontId="42"/>
  </si>
  <si>
    <t>主要取引先（上位3先）</t>
    <rPh sb="0" eb="5">
      <t>シュヨウトリヒキサキ</t>
    </rPh>
    <rPh sb="6" eb="8">
      <t>ジョウイ</t>
    </rPh>
    <rPh sb="9" eb="10">
      <t>サキ</t>
    </rPh>
    <phoneticPr fontId="42"/>
  </si>
  <si>
    <t>その他の取引先</t>
    <rPh sb="2" eb="3">
      <t>タ</t>
    </rPh>
    <rPh sb="4" eb="7">
      <t>トリヒキサキ</t>
    </rPh>
    <phoneticPr fontId="42"/>
  </si>
  <si>
    <t>合計</t>
    <rPh sb="0" eb="2">
      <t>ゴウケイ</t>
    </rPh>
    <phoneticPr fontId="42"/>
  </si>
  <si>
    <t>人（監査役を含む）</t>
    <rPh sb="0" eb="1">
      <t>ニン</t>
    </rPh>
    <rPh sb="2" eb="4">
      <t>カンサ</t>
    </rPh>
    <rPh sb="4" eb="5">
      <t>ヤク</t>
    </rPh>
    <rPh sb="6" eb="7">
      <t>フク</t>
    </rPh>
    <phoneticPr fontId="41"/>
  </si>
  <si>
    <t>人（うち正社員</t>
    <rPh sb="0" eb="1">
      <t>ニン</t>
    </rPh>
    <rPh sb="4" eb="7">
      <t>セイシャイン</t>
    </rPh>
    <phoneticPr fontId="41"/>
  </si>
  <si>
    <t>人）</t>
    <rPh sb="0" eb="1">
      <t>ニン</t>
    </rPh>
    <phoneticPr fontId="41"/>
  </si>
  <si>
    <t>円</t>
    <rPh sb="0" eb="1">
      <t>エン</t>
    </rPh>
    <phoneticPr fontId="41"/>
  </si>
  <si>
    <t>年間売上高</t>
    <rPh sb="0" eb="2">
      <t>ネンカン</t>
    </rPh>
    <rPh sb="2" eb="5">
      <t>ウリアゲダカ</t>
    </rPh>
    <phoneticPr fontId="42"/>
  </si>
  <si>
    <t>大分類</t>
    <rPh sb="0" eb="3">
      <t>ダイブンルイ</t>
    </rPh>
    <phoneticPr fontId="42"/>
  </si>
  <si>
    <t>中分類</t>
    <rPh sb="0" eb="3">
      <t>チュウブンルイ</t>
    </rPh>
    <phoneticPr fontId="42"/>
  </si>
  <si>
    <t>製造業その他</t>
    <rPh sb="0" eb="3">
      <t>セイゾウギョウ</t>
    </rPh>
    <rPh sb="5" eb="6">
      <t>ホカ</t>
    </rPh>
    <phoneticPr fontId="0"/>
  </si>
  <si>
    <t>卸売業</t>
    <rPh sb="0" eb="3">
      <t>オロシウリギョウ</t>
    </rPh>
    <phoneticPr fontId="0"/>
  </si>
  <si>
    <t>サービス業</t>
    <rPh sb="4" eb="5">
      <t>ギョウ</t>
    </rPh>
    <phoneticPr fontId="0"/>
  </si>
  <si>
    <t>小売業</t>
    <rPh sb="0" eb="3">
      <t>コウリギョウ</t>
    </rPh>
    <phoneticPr fontId="0"/>
  </si>
  <si>
    <t>01農業</t>
  </si>
  <si>
    <t>50各種商品卸売業</t>
  </si>
  <si>
    <t>38放送業</t>
  </si>
  <si>
    <t>56各種商品小売業</t>
  </si>
  <si>
    <t>02林業</t>
  </si>
  <si>
    <t>51繊維・衣服等卸売業</t>
  </si>
  <si>
    <t>57織物・衣服・身の回り品小売業</t>
  </si>
  <si>
    <t>52飲食料品卸売業</t>
  </si>
  <si>
    <t>58飲食料品小売業</t>
  </si>
  <si>
    <t>04水産養殖業</t>
  </si>
  <si>
    <t>59機械器具小売業</t>
  </si>
  <si>
    <t>54機械器具卸売業</t>
  </si>
  <si>
    <t>70物品賃貸業</t>
  </si>
  <si>
    <t>60その他の小売業</t>
  </si>
  <si>
    <t>76飲食店</t>
  </si>
  <si>
    <t>73広告業</t>
  </si>
  <si>
    <t>08設備工事業</t>
  </si>
  <si>
    <t>74技術サービス業（他に分類されないもの）</t>
  </si>
  <si>
    <t>09食料品製造業</t>
  </si>
  <si>
    <t>75宿泊業</t>
  </si>
  <si>
    <t>10飲料・たばこ・飼料製造業</t>
  </si>
  <si>
    <t>78洗濯・理容・美容・浴場業</t>
  </si>
  <si>
    <t>11繊維工業</t>
  </si>
  <si>
    <t>79その他の生活関連サービス業</t>
  </si>
  <si>
    <t>12木材・木製品製造業（家具を除く）</t>
  </si>
  <si>
    <t>80娯楽業</t>
  </si>
  <si>
    <t>13家具・装備品製造業</t>
  </si>
  <si>
    <t>81学校教育</t>
  </si>
  <si>
    <t>14パルプ・紙・紙加工品製造業</t>
  </si>
  <si>
    <t>31輸送用機械器具製造業</t>
  </si>
  <si>
    <t>32その他の製造業</t>
  </si>
  <si>
    <t>33電気業</t>
  </si>
  <si>
    <t>34ガス業</t>
  </si>
  <si>
    <t>35熱供給業</t>
  </si>
  <si>
    <t>36水道業</t>
  </si>
  <si>
    <t>37通信業</t>
  </si>
  <si>
    <t>39情報サービス業　※ソフトウェア業、情報処理・提供サービス業含む</t>
  </si>
  <si>
    <t>40インターネット附随サービス業</t>
  </si>
  <si>
    <t>41映像・音声・文字情報制作業　※新聞業、出版業含む</t>
  </si>
  <si>
    <t>42鉄道業</t>
  </si>
  <si>
    <t>43道路旅客運送業</t>
  </si>
  <si>
    <t>44道路貨物運送業</t>
  </si>
  <si>
    <t>45水運業</t>
  </si>
  <si>
    <t>46航空運輸業</t>
  </si>
  <si>
    <t>47倉庫業</t>
  </si>
  <si>
    <t>48運輸に附帯するサービス業</t>
  </si>
  <si>
    <t>49郵便業（信書便事業を含む）</t>
  </si>
  <si>
    <t>62銀行業</t>
  </si>
  <si>
    <t>63協同組織金融業</t>
  </si>
  <si>
    <t>66補助的金融業等</t>
  </si>
  <si>
    <t>68不動産取引業</t>
  </si>
  <si>
    <t>69不動産賃貸業・管理業　※駐車場業以外全て</t>
  </si>
  <si>
    <t>97国家公務</t>
  </si>
  <si>
    <t>98地方公務</t>
  </si>
  <si>
    <t>99分類不能の産業</t>
  </si>
  <si>
    <t>（１）過去5年間に国・都・公社等から補助金・助成金の交付を受けましたか。</t>
    <rPh sb="3" eb="5">
      <t>カコ</t>
    </rPh>
    <rPh sb="6" eb="8">
      <t>ネンカン</t>
    </rPh>
    <rPh sb="9" eb="10">
      <t>クニ</t>
    </rPh>
    <rPh sb="11" eb="12">
      <t>ミヤコ</t>
    </rPh>
    <rPh sb="13" eb="15">
      <t>コウシャ</t>
    </rPh>
    <rPh sb="15" eb="16">
      <t>トウ</t>
    </rPh>
    <rPh sb="18" eb="21">
      <t>ホジョキン</t>
    </rPh>
    <rPh sb="22" eb="25">
      <t>ジョセイキン</t>
    </rPh>
    <rPh sb="26" eb="28">
      <t>コウフ</t>
    </rPh>
    <rPh sb="29" eb="30">
      <t>ウ</t>
    </rPh>
    <phoneticPr fontId="38"/>
  </si>
  <si>
    <t>年度</t>
    <rPh sb="0" eb="2">
      <t>ネンド</t>
    </rPh>
    <phoneticPr fontId="38"/>
  </si>
  <si>
    <t>申請先</t>
    <rPh sb="0" eb="2">
      <t>シンセイ</t>
    </rPh>
    <rPh sb="2" eb="3">
      <t>サキ</t>
    </rPh>
    <phoneticPr fontId="38"/>
  </si>
  <si>
    <t>補助・助成事業名</t>
    <rPh sb="0" eb="2">
      <t>ホジョ</t>
    </rPh>
    <rPh sb="3" eb="5">
      <t>ジョセイ</t>
    </rPh>
    <rPh sb="5" eb="7">
      <t>ジギョウ</t>
    </rPh>
    <rPh sb="7" eb="8">
      <t>メイ</t>
    </rPh>
    <phoneticPr fontId="38"/>
  </si>
  <si>
    <t>助成金額</t>
    <rPh sb="0" eb="4">
      <t>ジョセイキンガク</t>
    </rPh>
    <phoneticPr fontId="42"/>
  </si>
  <si>
    <t>本申請との経費の重複</t>
    <rPh sb="0" eb="1">
      <t>ホン</t>
    </rPh>
    <rPh sb="1" eb="3">
      <t>シンセイ</t>
    </rPh>
    <rPh sb="5" eb="7">
      <t>ケイヒ</t>
    </rPh>
    <rPh sb="8" eb="10">
      <t>チョウフク</t>
    </rPh>
    <phoneticPr fontId="38"/>
  </si>
  <si>
    <t>本申請との内容の重複</t>
    <rPh sb="0" eb="1">
      <t>ホン</t>
    </rPh>
    <rPh sb="1" eb="3">
      <t>シンセイ</t>
    </rPh>
    <rPh sb="5" eb="7">
      <t>ナイヨウ</t>
    </rPh>
    <rPh sb="8" eb="10">
      <t>チョウフク</t>
    </rPh>
    <phoneticPr fontId="38"/>
  </si>
  <si>
    <t>状態</t>
    <rPh sb="0" eb="2">
      <t>ジョウタイ</t>
    </rPh>
    <phoneticPr fontId="38"/>
  </si>
  <si>
    <t>テーマ名</t>
    <rPh sb="2" eb="3">
      <t>メイ</t>
    </rPh>
    <phoneticPr fontId="42"/>
  </si>
  <si>
    <t>申請状況</t>
    <rPh sb="0" eb="3">
      <t>シンセイジョウキョウ</t>
    </rPh>
    <phoneticPr fontId="42"/>
  </si>
  <si>
    <t>事業内容</t>
    <rPh sb="0" eb="1">
      <t>ジギョウ</t>
    </rPh>
    <rPh sb="1" eb="3">
      <t>ナイヨウ</t>
    </rPh>
    <phoneticPr fontId="42"/>
  </si>
  <si>
    <t>対象期間</t>
    <rPh sb="0" eb="3">
      <t>タイショウキカン</t>
    </rPh>
    <phoneticPr fontId="42"/>
  </si>
  <si>
    <t>本助成事業との相違点</t>
    <rPh sb="0" eb="3">
      <t>ホンジョセイジギョウ</t>
    </rPh>
    <rPh sb="5" eb="8">
      <t>ソウイテン</t>
    </rPh>
    <phoneticPr fontId="42"/>
  </si>
  <si>
    <t>対象経費</t>
    <rPh sb="0" eb="3">
      <t>タイショウケイヒ</t>
    </rPh>
    <phoneticPr fontId="42"/>
  </si>
  <si>
    <t>経費支出先</t>
    <rPh sb="0" eb="1">
      <t>ケイヒ</t>
    </rPh>
    <rPh sb="1" eb="4">
      <t>シシュツサキ</t>
    </rPh>
    <phoneticPr fontId="42"/>
  </si>
  <si>
    <t>成果物</t>
    <rPh sb="0" eb="2">
      <t>セイカブツ</t>
    </rPh>
    <phoneticPr fontId="42"/>
  </si>
  <si>
    <t>名称</t>
    <rPh sb="0" eb="2">
      <t>メイショウ</t>
    </rPh>
    <phoneticPr fontId="41"/>
  </si>
  <si>
    <t>TEL</t>
    <phoneticPr fontId="41"/>
  </si>
  <si>
    <t>所在地</t>
    <rPh sb="0" eb="3">
      <t>ショザイチ</t>
    </rPh>
    <phoneticPr fontId="41"/>
  </si>
  <si>
    <t>駅</t>
    <rPh sb="0" eb="1">
      <t>エキ</t>
    </rPh>
    <phoneticPr fontId="41"/>
  </si>
  <si>
    <t>駅名</t>
    <rPh sb="0" eb="2">
      <t>エキメイ</t>
    </rPh>
    <phoneticPr fontId="41"/>
  </si>
  <si>
    <t>最寄駅</t>
    <rPh sb="0" eb="2">
      <t>モヨ</t>
    </rPh>
    <rPh sb="2" eb="3">
      <t>エキ</t>
    </rPh>
    <phoneticPr fontId="41"/>
  </si>
  <si>
    <t>線路名</t>
    <rPh sb="0" eb="3">
      <t>センロメイ</t>
    </rPh>
    <phoneticPr fontId="41"/>
  </si>
  <si>
    <t>線</t>
    <rPh sb="0" eb="1">
      <t>セン</t>
    </rPh>
    <phoneticPr fontId="41"/>
  </si>
  <si>
    <t>本助成事業を実施し、公社が検査時に、購入品や助成事業における成果物等、支払いに係る経理関係書類を確認できる場所を記入してください。原則、東京都内の自社の本社・事業所・工場等（借り上げ可）に限ります。</t>
    <phoneticPr fontId="41"/>
  </si>
  <si>
    <t>（２）現在実施中又は申請中（予定を含む）の補助金・助成金はありますか。</t>
    <rPh sb="3" eb="5">
      <t>ゲンザイ</t>
    </rPh>
    <rPh sb="5" eb="7">
      <t>ジッシ</t>
    </rPh>
    <rPh sb="7" eb="8">
      <t>チュウ</t>
    </rPh>
    <rPh sb="8" eb="9">
      <t>マタ</t>
    </rPh>
    <rPh sb="10" eb="13">
      <t>シンセイチュウ</t>
    </rPh>
    <rPh sb="14" eb="16">
      <t>ヨテイ</t>
    </rPh>
    <rPh sb="17" eb="18">
      <t>フク</t>
    </rPh>
    <rPh sb="21" eb="24">
      <t>ホジョキン</t>
    </rPh>
    <rPh sb="25" eb="28">
      <t>ジョセイキン</t>
    </rPh>
    <phoneticPr fontId="38"/>
  </si>
  <si>
    <t>補助・助成事業名</t>
    <rPh sb="0" eb="2">
      <t>ホジョ</t>
    </rPh>
    <rPh sb="3" eb="5">
      <t>ジョセイ</t>
    </rPh>
    <rPh sb="5" eb="7">
      <t>ジギョウ</t>
    </rPh>
    <rPh sb="7" eb="8">
      <t>メイ</t>
    </rPh>
    <phoneticPr fontId="42"/>
  </si>
  <si>
    <r>
      <t>（１）、(２)のいずれかもしくは両方が「はい」の場合、</t>
    </r>
    <r>
      <rPr>
        <sz val="11"/>
        <rFont val="游ゴシック"/>
        <family val="3"/>
        <charset val="128"/>
        <scheme val="minor"/>
      </rPr>
      <t>直近のものから順に記入してください。</t>
    </r>
    <rPh sb="16" eb="18">
      <t>リョウホウ</t>
    </rPh>
    <rPh sb="24" eb="26">
      <t>バアイ</t>
    </rPh>
    <rPh sb="27" eb="29">
      <t>チョッキン</t>
    </rPh>
    <rPh sb="34" eb="35">
      <t>ジュン</t>
    </rPh>
    <rPh sb="36" eb="38">
      <t>キニュウ</t>
    </rPh>
    <phoneticPr fontId="38"/>
  </si>
  <si>
    <t>内部環境</t>
    <rPh sb="0" eb="1">
      <t>ナイ</t>
    </rPh>
    <rPh sb="1" eb="2">
      <t>ブ</t>
    </rPh>
    <rPh sb="2" eb="4">
      <t>カンキョウ</t>
    </rPh>
    <phoneticPr fontId="41"/>
  </si>
  <si>
    <t>強み（活かすべき自社内の強み）</t>
    <rPh sb="0" eb="1">
      <t>ツヨ</t>
    </rPh>
    <rPh sb="3" eb="4">
      <t>イ</t>
    </rPh>
    <rPh sb="8" eb="11">
      <t>ジシャナイ</t>
    </rPh>
    <rPh sb="12" eb="13">
      <t>ツヨ</t>
    </rPh>
    <phoneticPr fontId="41"/>
  </si>
  <si>
    <t>外部環境</t>
    <rPh sb="0" eb="4">
      <t>ガイブカンキョウ</t>
    </rPh>
    <phoneticPr fontId="41"/>
  </si>
  <si>
    <t>機会（市場での競合優位性などプラス要素）</t>
    <rPh sb="0" eb="2">
      <t>キカイ</t>
    </rPh>
    <rPh sb="3" eb="5">
      <t>シジョウ</t>
    </rPh>
    <rPh sb="7" eb="12">
      <t>キョウゴウユウイセイ</t>
    </rPh>
    <rPh sb="17" eb="19">
      <t>ヨウソ</t>
    </rPh>
    <phoneticPr fontId="41"/>
  </si>
  <si>
    <t>脅威（市場縮小や競合激化などマイナス要素）</t>
    <rPh sb="0" eb="2">
      <t>キョウイ</t>
    </rPh>
    <rPh sb="3" eb="5">
      <t>シジョウ</t>
    </rPh>
    <rPh sb="5" eb="7">
      <t>シュクショウ</t>
    </rPh>
    <rPh sb="8" eb="10">
      <t>キョウゴウ</t>
    </rPh>
    <rPh sb="10" eb="12">
      <t>ゲキカ</t>
    </rPh>
    <rPh sb="18" eb="20">
      <t>ヨウソ</t>
    </rPh>
    <phoneticPr fontId="41"/>
  </si>
  <si>
    <t>弱み（障害となり克服すべき自社内の弱み）</t>
    <rPh sb="0" eb="1">
      <t>ヨワ</t>
    </rPh>
    <rPh sb="3" eb="5">
      <t>ショウガイ</t>
    </rPh>
    <rPh sb="8" eb="10">
      <t>コクフク</t>
    </rPh>
    <rPh sb="13" eb="16">
      <t>ジシャナイ</t>
    </rPh>
    <rPh sb="17" eb="18">
      <t>ヨワ</t>
    </rPh>
    <phoneticPr fontId="41"/>
  </si>
  <si>
    <t>助成対象期間の全体経費を記入してください。</t>
    <phoneticPr fontId="54"/>
  </si>
  <si>
    <t xml:space="preserve">（単位：円） </t>
  </si>
  <si>
    <t>経　費　区　分</t>
  </si>
  <si>
    <t>内　　訳</t>
    <rPh sb="0" eb="1">
      <t>ウチ</t>
    </rPh>
    <rPh sb="3" eb="4">
      <t>ワケ</t>
    </rPh>
    <phoneticPr fontId="54"/>
  </si>
  <si>
    <t>合　　　計</t>
    <phoneticPr fontId="54"/>
  </si>
  <si>
    <t xml:space="preserve">（単位：円） </t>
    <rPh sb="1" eb="3">
      <t>タンイ</t>
    </rPh>
    <rPh sb="4" eb="5">
      <t>エン</t>
    </rPh>
    <phoneticPr fontId="54"/>
  </si>
  <si>
    <t xml:space="preserve"> 　区　　　　　　　分　</t>
    <phoneticPr fontId="54"/>
  </si>
  <si>
    <t>資 金 調 達 金 額</t>
    <rPh sb="2" eb="3">
      <t>キン</t>
    </rPh>
    <rPh sb="4" eb="5">
      <t>チョウ</t>
    </rPh>
    <phoneticPr fontId="54"/>
  </si>
  <si>
    <t>調達先（名称等）</t>
    <rPh sb="0" eb="3">
      <t>チョウタツサキ</t>
    </rPh>
    <rPh sb="4" eb="6">
      <t>メイショウ</t>
    </rPh>
    <rPh sb="6" eb="7">
      <t>ナド</t>
    </rPh>
    <phoneticPr fontId="54"/>
  </si>
  <si>
    <t>進捗状況等</t>
    <rPh sb="0" eb="2">
      <t>シンチョク</t>
    </rPh>
    <rPh sb="2" eb="4">
      <t>ジョウキョウ</t>
    </rPh>
    <rPh sb="4" eb="5">
      <t>ナド</t>
    </rPh>
    <phoneticPr fontId="54"/>
  </si>
  <si>
    <t>内 訳</t>
    <rPh sb="0" eb="1">
      <t>ナイ</t>
    </rPh>
    <rPh sb="2" eb="3">
      <t>ヤク</t>
    </rPh>
    <phoneticPr fontId="54"/>
  </si>
  <si>
    <t>自　己　資　金</t>
    <phoneticPr fontId="54"/>
  </si>
  <si>
    <t>銀 行 借 入 金</t>
    <phoneticPr fontId="54"/>
  </si>
  <si>
    <t>役 員 借 入 金</t>
    <phoneticPr fontId="54"/>
  </si>
  <si>
    <t>その他</t>
    <phoneticPr fontId="54"/>
  </si>
  <si>
    <t>注１</t>
    <rPh sb="0" eb="1">
      <t>チュウ</t>
    </rPh>
    <phoneticPr fontId="42"/>
  </si>
  <si>
    <t>「助成対象経費」には、「助成事業に要する経費」から消費税、振込手数料、通信費、光熱費等の間接経費を除いたものを記入してください。</t>
    <phoneticPr fontId="42"/>
  </si>
  <si>
    <t>注２</t>
    <rPh sb="0" eb="1">
      <t>チュウ</t>
    </rPh>
    <phoneticPr fontId="42"/>
  </si>
  <si>
    <t>注３</t>
    <rPh sb="0" eb="1">
      <t>チュウ</t>
    </rPh>
    <phoneticPr fontId="42"/>
  </si>
  <si>
    <t>注４</t>
    <rPh sb="0" eb="1">
      <t>チュウ</t>
    </rPh>
    <phoneticPr fontId="42"/>
  </si>
  <si>
    <t>「助成事業に要する経費」と「資金調達金額」の合計が一致するように記入してください。</t>
    <phoneticPr fontId="42"/>
  </si>
  <si>
    <r>
      <rPr>
        <sz val="11"/>
        <color theme="1"/>
        <rFont val="游ゴシック"/>
        <family val="3"/>
        <charset val="128"/>
        <scheme val="minor"/>
      </rPr>
      <t>合　　計</t>
    </r>
    <r>
      <rPr>
        <sz val="12"/>
        <color theme="1"/>
        <rFont val="游ゴシック"/>
        <family val="3"/>
        <charset val="128"/>
        <scheme val="minor"/>
      </rPr>
      <t xml:space="preserve"> 　　</t>
    </r>
    <r>
      <rPr>
        <sz val="11"/>
        <rFont val="ＭＳ 明朝"/>
        <family val="1"/>
        <charset val="128"/>
      </rPr>
      <t/>
    </r>
    <phoneticPr fontId="54"/>
  </si>
  <si>
    <t>「助成事業に要する経費」には、当助成事業を遂行するために必要な経費を記入してください。</t>
    <phoneticPr fontId="42"/>
  </si>
  <si>
    <t>　注　意　事　項　　</t>
    <rPh sb="1" eb="2">
      <t>チュウ</t>
    </rPh>
    <rPh sb="3" eb="4">
      <t>イ</t>
    </rPh>
    <rPh sb="5" eb="6">
      <t>コト</t>
    </rPh>
    <rPh sb="7" eb="8">
      <t>コウ</t>
    </rPh>
    <phoneticPr fontId="42"/>
  </si>
  <si>
    <t>事　業　終　了　予　定　日</t>
    <rPh sb="0" eb="1">
      <t>コト</t>
    </rPh>
    <rPh sb="2" eb="3">
      <t>ギョウ</t>
    </rPh>
    <rPh sb="4" eb="5">
      <t>オワ</t>
    </rPh>
    <rPh sb="6" eb="7">
      <t>リョウ</t>
    </rPh>
    <rPh sb="8" eb="9">
      <t>ヨ</t>
    </rPh>
    <rPh sb="10" eb="11">
      <t>サダム</t>
    </rPh>
    <rPh sb="12" eb="13">
      <t>ニチ</t>
    </rPh>
    <phoneticPr fontId="42"/>
  </si>
  <si>
    <t>No.</t>
  </si>
  <si>
    <t>作業項目</t>
    <rPh sb="0" eb="2">
      <t>サギョウ</t>
    </rPh>
    <rPh sb="2" eb="4">
      <t>コウモク</t>
    </rPh>
    <phoneticPr fontId="42"/>
  </si>
  <si>
    <t>支出
番号</t>
    <rPh sb="0" eb="2">
      <t>シシュツ</t>
    </rPh>
    <rPh sb="3" eb="5">
      <t>バンゴウ</t>
    </rPh>
    <phoneticPr fontId="42"/>
  </si>
  <si>
    <t>①具体的な作業項目、資金支出明細の番号（原－1、機－1・・・）を記入
②自社作業に該当する期間は○、他社作業に該当する期間は●を記入
③本事業の全体像が分かるよう、経費が発生しない作業も記入</t>
    <rPh sb="68" eb="71">
      <t>ホンジギョウ</t>
    </rPh>
    <rPh sb="72" eb="75">
      <t>ゼンタイゾウ</t>
    </rPh>
    <rPh sb="76" eb="77">
      <t>ワ</t>
    </rPh>
    <rPh sb="82" eb="84">
      <t>ケイヒ</t>
    </rPh>
    <rPh sb="85" eb="87">
      <t>ハッセイ</t>
    </rPh>
    <rPh sb="90" eb="92">
      <t>サギョウ</t>
    </rPh>
    <rPh sb="93" eb="95">
      <t>キニュウ</t>
    </rPh>
    <phoneticPr fontId="41"/>
  </si>
  <si>
    <t>（千円未満切捨）</t>
  </si>
  <si>
    <t>助成金交付申請額</t>
    <rPh sb="0" eb="3">
      <t>ジョセイキン</t>
    </rPh>
    <rPh sb="3" eb="5">
      <t>コウフ</t>
    </rPh>
    <rPh sb="5" eb="7">
      <t>シンセイ</t>
    </rPh>
    <rPh sb="7" eb="8">
      <t>ガク</t>
    </rPh>
    <phoneticPr fontId="54"/>
  </si>
  <si>
    <t>公益財団法人　東京都中小企業振興公社</t>
  </si>
  <si>
    <t>　　理　　事　　長　　殿</t>
  </si>
  <si>
    <t>名　称</t>
    <rPh sb="0" eb="1">
      <t>ナ</t>
    </rPh>
    <rPh sb="2" eb="3">
      <t>ショウ</t>
    </rPh>
    <phoneticPr fontId="40"/>
  </si>
  <si>
    <t>代表者</t>
    <rPh sb="0" eb="3">
      <t>ダイヒョウシャ</t>
    </rPh>
    <phoneticPr fontId="40"/>
  </si>
  <si>
    <t>（役職）</t>
    <rPh sb="1" eb="3">
      <t>ヤクショク</t>
    </rPh>
    <phoneticPr fontId="40"/>
  </si>
  <si>
    <t>（氏名）</t>
    <rPh sb="1" eb="3">
      <t>シメイ</t>
    </rPh>
    <phoneticPr fontId="40"/>
  </si>
  <si>
    <t>　下記のとおり助成事業を実施したいので、別紙の書類を添えて、助成金の交付を申請します。</t>
  </si>
  <si>
    <t>記</t>
    <rPh sb="0" eb="1">
      <t>キ</t>
    </rPh>
    <phoneticPr fontId="40"/>
  </si>
  <si>
    <t>売上高</t>
    <rPh sb="0" eb="3">
      <t>ウリアゲダカ</t>
    </rPh>
    <phoneticPr fontId="41"/>
  </si>
  <si>
    <t>Ⅱ　 事業計画</t>
    <phoneticPr fontId="41"/>
  </si>
  <si>
    <t>Ⅰ　申請者概要</t>
    <rPh sb="2" eb="5">
      <t>シンセイシャ</t>
    </rPh>
    <rPh sb="5" eb="7">
      <t>ガイヨウ</t>
    </rPh>
    <phoneticPr fontId="41"/>
  </si>
  <si>
    <t>２．事業の実施場所</t>
    <rPh sb="2" eb="4">
      <t>ジギョウ</t>
    </rPh>
    <rPh sb="5" eb="9">
      <t>ジッシバショ</t>
    </rPh>
    <phoneticPr fontId="42"/>
  </si>
  <si>
    <t>取組の基となる
既存事業の内容</t>
    <rPh sb="0" eb="2">
      <t>トリクミ</t>
    </rPh>
    <rPh sb="3" eb="4">
      <t>モト</t>
    </rPh>
    <rPh sb="8" eb="12">
      <t>キゾンジギョウ</t>
    </rPh>
    <rPh sb="13" eb="15">
      <t>ナイヨウ</t>
    </rPh>
    <phoneticPr fontId="42"/>
  </si>
  <si>
    <t>深化・発展の
取組内容</t>
    <rPh sb="0" eb="2">
      <t>シンカ</t>
    </rPh>
    <rPh sb="3" eb="5">
      <t>ハッテン</t>
    </rPh>
    <rPh sb="7" eb="9">
      <t>トリクミ</t>
    </rPh>
    <rPh sb="9" eb="11">
      <t>ナイヨウ</t>
    </rPh>
    <phoneticPr fontId="42"/>
  </si>
  <si>
    <t>上記の取組が「既存事業に基づく取組」と言える理由</t>
    <rPh sb="0" eb="2">
      <t>ジョウキ</t>
    </rPh>
    <rPh sb="3" eb="5">
      <t>トリクミ</t>
    </rPh>
    <rPh sb="7" eb="11">
      <t>キゾンジギョウ</t>
    </rPh>
    <rPh sb="12" eb="13">
      <t>モト</t>
    </rPh>
    <rPh sb="15" eb="17">
      <t>トリクミ</t>
    </rPh>
    <rPh sb="19" eb="20">
      <t>イ</t>
    </rPh>
    <rPh sb="22" eb="24">
      <t>リユウ</t>
    </rPh>
    <phoneticPr fontId="42"/>
  </si>
  <si>
    <t>深化・発展により
見込まれる効果</t>
    <rPh sb="0" eb="2">
      <t>シンカ</t>
    </rPh>
    <rPh sb="3" eb="5">
      <t>ハッテン</t>
    </rPh>
    <rPh sb="9" eb="11">
      <t>ミコ</t>
    </rPh>
    <rPh sb="14" eb="16">
      <t>コウカ</t>
    </rPh>
    <phoneticPr fontId="42"/>
  </si>
  <si>
    <t>効果の定量的説明</t>
    <rPh sb="0" eb="2">
      <t>コウカ</t>
    </rPh>
    <rPh sb="3" eb="6">
      <t>テイリョウテキ</t>
    </rPh>
    <rPh sb="6" eb="8">
      <t>セツメイ</t>
    </rPh>
    <phoneticPr fontId="41"/>
  </si>
  <si>
    <t>項目</t>
    <rPh sb="0" eb="2">
      <t>コウモク</t>
    </rPh>
    <phoneticPr fontId="41"/>
  </si>
  <si>
    <t>効果を見込む根拠・理由</t>
    <rPh sb="0" eb="2">
      <t>コウカ</t>
    </rPh>
    <rPh sb="3" eb="5">
      <t>ミコ</t>
    </rPh>
    <rPh sb="6" eb="8">
      <t>コンキョ</t>
    </rPh>
    <rPh sb="9" eb="11">
      <t>リユウ</t>
    </rPh>
    <phoneticPr fontId="41"/>
  </si>
  <si>
    <t>【発展の場合】開発等の主担当者について</t>
    <rPh sb="1" eb="3">
      <t>ハッテン</t>
    </rPh>
    <rPh sb="4" eb="6">
      <t>バアイ</t>
    </rPh>
    <rPh sb="7" eb="9">
      <t>カイハツ</t>
    </rPh>
    <rPh sb="9" eb="10">
      <t>トウ</t>
    </rPh>
    <rPh sb="11" eb="15">
      <t>シュタントウシャ</t>
    </rPh>
    <phoneticPr fontId="41"/>
  </si>
  <si>
    <t>氏　　名</t>
    <rPh sb="0" eb="1">
      <t>シ</t>
    </rPh>
    <rPh sb="3" eb="4">
      <t>ナ</t>
    </rPh>
    <phoneticPr fontId="41"/>
  </si>
  <si>
    <t>主な研究
開発経歴</t>
    <rPh sb="0" eb="1">
      <t>オモ</t>
    </rPh>
    <rPh sb="2" eb="4">
      <t>ケンキュウ</t>
    </rPh>
    <rPh sb="5" eb="7">
      <t>カイハツ</t>
    </rPh>
    <rPh sb="7" eb="9">
      <t>ケイレキ</t>
    </rPh>
    <phoneticPr fontId="41"/>
  </si>
  <si>
    <t>在籍年数</t>
    <rPh sb="0" eb="2">
      <t>ザイセキ</t>
    </rPh>
    <rPh sb="2" eb="4">
      <t>ネンスウ</t>
    </rPh>
    <phoneticPr fontId="41"/>
  </si>
  <si>
    <t>得意分野</t>
    <rPh sb="0" eb="4">
      <t>トクイブンヤ</t>
    </rPh>
    <phoneticPr fontId="41"/>
  </si>
  <si>
    <t>（１）自社を取り巻く環境に係るSWOT分析</t>
    <rPh sb="3" eb="5">
      <t>ジシャ</t>
    </rPh>
    <rPh sb="6" eb="7">
      <t>ト</t>
    </rPh>
    <rPh sb="8" eb="9">
      <t>マ</t>
    </rPh>
    <rPh sb="10" eb="12">
      <t>カンキョウ</t>
    </rPh>
    <rPh sb="13" eb="14">
      <t>カカ</t>
    </rPh>
    <rPh sb="19" eb="21">
      <t>ブンセキ</t>
    </rPh>
    <phoneticPr fontId="41"/>
  </si>
  <si>
    <t>項　　目</t>
    <rPh sb="0" eb="1">
      <t>コウ</t>
    </rPh>
    <rPh sb="3" eb="4">
      <t>メ</t>
    </rPh>
    <phoneticPr fontId="41"/>
  </si>
  <si>
    <t>年次</t>
    <rPh sb="0" eb="2">
      <t>ネンジ</t>
    </rPh>
    <phoneticPr fontId="41"/>
  </si>
  <si>
    <t>金　　額</t>
    <rPh sb="0" eb="1">
      <t>キン</t>
    </rPh>
    <rPh sb="3" eb="4">
      <t>ガク</t>
    </rPh>
    <phoneticPr fontId="41"/>
  </si>
  <si>
    <t>算出根拠（価格×数量等の具体的な算式を用いて記入）</t>
    <phoneticPr fontId="41"/>
  </si>
  <si>
    <t>１年目</t>
    <rPh sb="1" eb="3">
      <t>ネンメ</t>
    </rPh>
    <phoneticPr fontId="41"/>
  </si>
  <si>
    <t>２年目</t>
    <rPh sb="1" eb="3">
      <t>ネンメ</t>
    </rPh>
    <phoneticPr fontId="41"/>
  </si>
  <si>
    <t>３年目</t>
    <rPh sb="1" eb="3">
      <t>ネンメ</t>
    </rPh>
    <phoneticPr fontId="41"/>
  </si>
  <si>
    <t>営業損益等</t>
    <rPh sb="0" eb="2">
      <t>エイギョウ</t>
    </rPh>
    <rPh sb="2" eb="4">
      <t>ソンエキ</t>
    </rPh>
    <rPh sb="4" eb="5">
      <t>トウ</t>
    </rPh>
    <phoneticPr fontId="41"/>
  </si>
  <si>
    <t>１．申請テーマ</t>
    <rPh sb="2" eb="4">
      <t>シンセイ</t>
    </rPh>
    <phoneticPr fontId="50"/>
  </si>
  <si>
    <t>２．助成金交付申請額</t>
    <rPh sb="2" eb="5">
      <t>ジョセイキン</t>
    </rPh>
    <rPh sb="5" eb="7">
      <t>コウフ</t>
    </rPh>
    <rPh sb="7" eb="10">
      <t>シンセイガク</t>
    </rPh>
    <phoneticPr fontId="50"/>
  </si>
  <si>
    <t>３．事業終了予定日</t>
    <rPh sb="4" eb="6">
      <t>シュウリョウ</t>
    </rPh>
    <phoneticPr fontId="50"/>
  </si>
  <si>
    <t>(選択)</t>
  </si>
  <si>
    <t>（１）要件確認</t>
    <rPh sb="3" eb="5">
      <t>ヨウケン</t>
    </rPh>
    <rPh sb="5" eb="7">
      <t>カクニン</t>
    </rPh>
    <phoneticPr fontId="42"/>
  </si>
  <si>
    <t>申請要件</t>
    <rPh sb="0" eb="2">
      <t>シンセイ</t>
    </rPh>
    <rPh sb="2" eb="4">
      <t>ヨウケン</t>
    </rPh>
    <phoneticPr fontId="41"/>
  </si>
  <si>
    <t>ｂ．直近決算期において損失を計上している</t>
    <phoneticPr fontId="41"/>
  </si>
  <si>
    <t>直近期</t>
    <rPh sb="0" eb="3">
      <t>チョッキンキ</t>
    </rPh>
    <phoneticPr fontId="41"/>
  </si>
  <si>
    <t>比較対象期</t>
    <rPh sb="0" eb="2">
      <t>ヒカク</t>
    </rPh>
    <rPh sb="2" eb="4">
      <t>タイショウ</t>
    </rPh>
    <rPh sb="4" eb="5">
      <t>キ</t>
    </rPh>
    <phoneticPr fontId="41"/>
  </si>
  <si>
    <t>該当要件</t>
    <rPh sb="0" eb="2">
      <t>ガイトウ</t>
    </rPh>
    <rPh sb="2" eb="4">
      <t>ヨウケン</t>
    </rPh>
    <phoneticPr fontId="41"/>
  </si>
  <si>
    <t>入力項目</t>
    <rPh sb="0" eb="2">
      <t>ニュウリョク</t>
    </rPh>
    <rPh sb="2" eb="4">
      <t>コウモク</t>
    </rPh>
    <phoneticPr fontId="41"/>
  </si>
  <si>
    <t>決算期</t>
    <rPh sb="0" eb="3">
      <t>ケッサンキ</t>
    </rPh>
    <phoneticPr fontId="41"/>
  </si>
  <si>
    <t>金額</t>
    <rPh sb="0" eb="2">
      <t>キンガク</t>
    </rPh>
    <phoneticPr fontId="41"/>
  </si>
  <si>
    <t>要件ａ</t>
    <rPh sb="0" eb="2">
      <t>ヨウケン</t>
    </rPh>
    <phoneticPr fontId="41"/>
  </si>
  <si>
    <t>円</t>
    <rPh sb="0" eb="1">
      <t>エン</t>
    </rPh>
    <phoneticPr fontId="41"/>
  </si>
  <si>
    <t>(具体的な時期)</t>
    <rPh sb="1" eb="4">
      <t>グタイテキ</t>
    </rPh>
    <rPh sb="5" eb="7">
      <t>ジキ</t>
    </rPh>
    <phoneticPr fontId="41"/>
  </si>
  <si>
    <t>本取組の実施を通して得た収益や知見を、助成終了後にどう活かしていくか（将来的な経営展開をどう考えているか）</t>
    <rPh sb="0" eb="1">
      <t>ホン</t>
    </rPh>
    <rPh sb="1" eb="3">
      <t>トリクミ</t>
    </rPh>
    <rPh sb="4" eb="6">
      <t>ジッシ</t>
    </rPh>
    <rPh sb="7" eb="8">
      <t>トオ</t>
    </rPh>
    <rPh sb="10" eb="11">
      <t>エ</t>
    </rPh>
    <rPh sb="12" eb="14">
      <t>シュウエキ</t>
    </rPh>
    <rPh sb="15" eb="17">
      <t>チケン</t>
    </rPh>
    <rPh sb="19" eb="21">
      <t>ジョセイ</t>
    </rPh>
    <rPh sb="21" eb="24">
      <t>シュウリョウゴ</t>
    </rPh>
    <rPh sb="27" eb="28">
      <t>イ</t>
    </rPh>
    <rPh sb="35" eb="38">
      <t>ショウライテキ</t>
    </rPh>
    <phoneticPr fontId="42"/>
  </si>
  <si>
    <t>（１）本取組についての収益計画</t>
    <rPh sb="3" eb="4">
      <t>ホン</t>
    </rPh>
    <rPh sb="4" eb="6">
      <t>トリクミ</t>
    </rPh>
    <rPh sb="11" eb="13">
      <t>シュウエキ</t>
    </rPh>
    <rPh sb="13" eb="15">
      <t>ケイカク</t>
    </rPh>
    <phoneticPr fontId="42"/>
  </si>
  <si>
    <t>（２）他事業等を含む全体の収益計画</t>
    <rPh sb="3" eb="4">
      <t>タ</t>
    </rPh>
    <rPh sb="4" eb="6">
      <t>ジギョウ</t>
    </rPh>
    <rPh sb="6" eb="7">
      <t>トウ</t>
    </rPh>
    <rPh sb="8" eb="9">
      <t>フク</t>
    </rPh>
    <rPh sb="10" eb="12">
      <t>ゼンタイ</t>
    </rPh>
    <rPh sb="13" eb="15">
      <t>シュウエキ</t>
    </rPh>
    <rPh sb="15" eb="17">
      <t>ケイカク</t>
    </rPh>
    <phoneticPr fontId="42"/>
  </si>
  <si>
    <t>（３）収益計画を達成するための具体的方策</t>
    <rPh sb="3" eb="5">
      <t>シュウエキ</t>
    </rPh>
    <rPh sb="5" eb="7">
      <t>ケイカク</t>
    </rPh>
    <rPh sb="8" eb="10">
      <t>タッセイ</t>
    </rPh>
    <rPh sb="15" eb="20">
      <t>グタイテキホウサク</t>
    </rPh>
    <phoneticPr fontId="42"/>
  </si>
  <si>
    <t>※営業損益等→法人：営業損益、個人：収支内訳書の所得金額（㉑）又は青色申告決算書の差引金額（㉝）相当額</t>
    <rPh sb="12" eb="14">
      <t>ソンエキ</t>
    </rPh>
    <phoneticPr fontId="41"/>
  </si>
  <si>
    <t>１．事業計画</t>
    <rPh sb="2" eb="6">
      <t>ジギョウケイカク</t>
    </rPh>
    <phoneticPr fontId="41"/>
  </si>
  <si>
    <t>２．助成事業終了後の収益計画</t>
    <rPh sb="2" eb="6">
      <t>ジョセイジギョウ</t>
    </rPh>
    <rPh sb="6" eb="9">
      <t>シュウリョウゴ</t>
    </rPh>
    <rPh sb="10" eb="12">
      <t>シュウエキ</t>
    </rPh>
    <rPh sb="12" eb="14">
      <t>ケイカク</t>
    </rPh>
    <phoneticPr fontId="41"/>
  </si>
  <si>
    <t>４．今後の展望</t>
    <rPh sb="2" eb="4">
      <t>コンゴ</t>
    </rPh>
    <rPh sb="5" eb="7">
      <t>テンボウ</t>
    </rPh>
    <phoneticPr fontId="41"/>
  </si>
  <si>
    <t>【ある場合】
既存事業からの
「新規性」</t>
    <rPh sb="3" eb="5">
      <t>バアイ</t>
    </rPh>
    <rPh sb="7" eb="9">
      <t>キゾン</t>
    </rPh>
    <rPh sb="9" eb="11">
      <t>ジギョウ</t>
    </rPh>
    <rPh sb="16" eb="19">
      <t>シンキセイ</t>
    </rPh>
    <phoneticPr fontId="41"/>
  </si>
  <si>
    <t>上記の既存事業を
選んだ理由
（SWOT分析との関連性など）</t>
    <rPh sb="0" eb="2">
      <t>ジョウキ</t>
    </rPh>
    <rPh sb="3" eb="7">
      <t>キゾンジギョウ</t>
    </rPh>
    <rPh sb="9" eb="10">
      <t>エラ</t>
    </rPh>
    <rPh sb="12" eb="14">
      <t>リユウ</t>
    </rPh>
    <rPh sb="20" eb="22">
      <t>ブンセキ</t>
    </rPh>
    <rPh sb="24" eb="26">
      <t>カンレン</t>
    </rPh>
    <rPh sb="26" eb="27">
      <t>セイ</t>
    </rPh>
    <phoneticPr fontId="42"/>
  </si>
  <si>
    <r>
      <t>３．市場動向（事業環境の変化に対する分析・戦略）</t>
    </r>
    <r>
      <rPr>
        <b/>
        <sz val="12"/>
        <rFont val="游ゴシック"/>
        <family val="3"/>
        <charset val="128"/>
        <scheme val="minor"/>
      </rPr>
      <t>、創意工夫、独自性</t>
    </r>
    <rPh sb="2" eb="4">
      <t>シジョウ</t>
    </rPh>
    <rPh sb="4" eb="6">
      <t>ドウコウ</t>
    </rPh>
    <rPh sb="7" eb="11">
      <t>ジギョウカンキョウ</t>
    </rPh>
    <rPh sb="12" eb="14">
      <t>ヘンカ</t>
    </rPh>
    <rPh sb="15" eb="16">
      <t>タイ</t>
    </rPh>
    <rPh sb="18" eb="20">
      <t>ブンセキ</t>
    </rPh>
    <rPh sb="21" eb="23">
      <t>センリャク</t>
    </rPh>
    <rPh sb="25" eb="27">
      <t>ソウイ</t>
    </rPh>
    <rPh sb="27" eb="29">
      <t>クフウ</t>
    </rPh>
    <rPh sb="30" eb="33">
      <t>ドクジセイ</t>
    </rPh>
    <phoneticPr fontId="41"/>
  </si>
  <si>
    <r>
      <t>（１）本取組に対する、市場・顧客・競合他社の状況　
　※「ポストコロナ等における</t>
    </r>
    <r>
      <rPr>
        <sz val="11"/>
        <rFont val="游ゴシック"/>
        <family val="3"/>
        <charset val="128"/>
        <scheme val="minor"/>
      </rPr>
      <t>事業環境変化の前後</t>
    </r>
    <r>
      <rPr>
        <sz val="11"/>
        <color theme="1"/>
        <rFont val="游ゴシック"/>
        <family val="2"/>
        <charset val="128"/>
        <scheme val="minor"/>
      </rPr>
      <t>の比較」という観点を踏まえて記載</t>
    </r>
    <rPh sb="3" eb="4">
      <t>ホン</t>
    </rPh>
    <rPh sb="4" eb="6">
      <t>トリクミ</t>
    </rPh>
    <rPh sb="7" eb="8">
      <t>タイ</t>
    </rPh>
    <rPh sb="11" eb="13">
      <t>シジョウ</t>
    </rPh>
    <rPh sb="14" eb="16">
      <t>コキャク</t>
    </rPh>
    <rPh sb="17" eb="21">
      <t>キョウゴウタシャ</t>
    </rPh>
    <rPh sb="22" eb="24">
      <t>ジョウキョウ</t>
    </rPh>
    <rPh sb="35" eb="36">
      <t>トウ</t>
    </rPh>
    <rPh sb="40" eb="42">
      <t>ジギョウ</t>
    </rPh>
    <rPh sb="42" eb="44">
      <t>カンキョウ</t>
    </rPh>
    <rPh sb="44" eb="46">
      <t>ヘンカ</t>
    </rPh>
    <rPh sb="50" eb="52">
      <t>ヒカク</t>
    </rPh>
    <rPh sb="56" eb="58">
      <t>カンテン</t>
    </rPh>
    <rPh sb="59" eb="60">
      <t>フ</t>
    </rPh>
    <rPh sb="63" eb="65">
      <t>キサイ</t>
    </rPh>
    <phoneticPr fontId="42"/>
  </si>
  <si>
    <r>
      <t>（２）上記の分析を踏まえた、本取組への顧客獲得策・市場拡大策
　　※</t>
    </r>
    <r>
      <rPr>
        <sz val="11"/>
        <rFont val="游ゴシック"/>
        <family val="3"/>
        <charset val="128"/>
        <scheme val="minor"/>
      </rPr>
      <t>助成事業の効果を高めるための創意工夫、企業として独自性を発揮できる点などについても記載</t>
    </r>
    <rPh sb="3" eb="5">
      <t>ジョウキ</t>
    </rPh>
    <rPh sb="6" eb="8">
      <t>ブンセキ</t>
    </rPh>
    <rPh sb="9" eb="10">
      <t>フ</t>
    </rPh>
    <rPh sb="14" eb="17">
      <t>ホントリクミ</t>
    </rPh>
    <rPh sb="19" eb="21">
      <t>コキャク</t>
    </rPh>
    <rPh sb="21" eb="24">
      <t>カクトクサク</t>
    </rPh>
    <rPh sb="25" eb="29">
      <t>シジョウカクダイ</t>
    </rPh>
    <rPh sb="29" eb="30">
      <t>サク</t>
    </rPh>
    <rPh sb="34" eb="36">
      <t>ジョセイ</t>
    </rPh>
    <rPh sb="36" eb="38">
      <t>ジギョウ</t>
    </rPh>
    <rPh sb="39" eb="41">
      <t>コウカ</t>
    </rPh>
    <rPh sb="42" eb="43">
      <t>タカ</t>
    </rPh>
    <rPh sb="48" eb="50">
      <t>ソウイ</t>
    </rPh>
    <rPh sb="50" eb="52">
      <t>クフウ</t>
    </rPh>
    <rPh sb="53" eb="55">
      <t>キギョウ</t>
    </rPh>
    <rPh sb="58" eb="61">
      <t>ドクジセイ</t>
    </rPh>
    <rPh sb="62" eb="64">
      <t>ハッキ</t>
    </rPh>
    <rPh sb="67" eb="68">
      <t>テン</t>
    </rPh>
    <rPh sb="75" eb="77">
      <t>キサイ</t>
    </rPh>
    <phoneticPr fontId="42"/>
  </si>
  <si>
    <t>（１）経費区分別内訳</t>
    <phoneticPr fontId="54"/>
  </si>
  <si>
    <t>助成事業に要する経費</t>
    <phoneticPr fontId="54"/>
  </si>
  <si>
    <t>助 成 対 象 経 費</t>
    <rPh sb="0" eb="1">
      <t>スケ</t>
    </rPh>
    <rPh sb="2" eb="3">
      <t>セイ</t>
    </rPh>
    <rPh sb="4" eb="5">
      <t>ツイ</t>
    </rPh>
    <rPh sb="6" eb="7">
      <t>ゾウ</t>
    </rPh>
    <rPh sb="8" eb="9">
      <t>キョウ</t>
    </rPh>
    <rPh sb="10" eb="11">
      <t>ヒ</t>
    </rPh>
    <phoneticPr fontId="54"/>
  </si>
  <si>
    <t>（税込）</t>
    <phoneticPr fontId="41"/>
  </si>
  <si>
    <t>（税抜）</t>
    <phoneticPr fontId="41"/>
  </si>
  <si>
    <t xml:space="preserve">原材料・副資材費 </t>
    <phoneticPr fontId="54"/>
  </si>
  <si>
    <r>
      <t>機械装置・工具器具費　</t>
    </r>
    <r>
      <rPr>
        <sz val="10"/>
        <rFont val="ＭＳ 明朝"/>
        <family val="1"/>
        <charset val="128"/>
      </rPr>
      <t/>
    </r>
    <phoneticPr fontId="54"/>
  </si>
  <si>
    <r>
      <t>委託・外注費 　　　　　　　</t>
    </r>
    <r>
      <rPr>
        <sz val="10"/>
        <rFont val="ＭＳ 明朝"/>
        <family val="1"/>
        <charset val="128"/>
      </rPr>
      <t/>
    </r>
    <rPh sb="0" eb="2">
      <t>イタク</t>
    </rPh>
    <rPh sb="3" eb="6">
      <t>ガイチュウヒ</t>
    </rPh>
    <phoneticPr fontId="54"/>
  </si>
  <si>
    <t>産業財産権出願・導入費</t>
    <rPh sb="0" eb="2">
      <t>サンギョウ</t>
    </rPh>
    <rPh sb="2" eb="5">
      <t>ザイサンケン</t>
    </rPh>
    <rPh sb="5" eb="7">
      <t>シュツガン</t>
    </rPh>
    <rPh sb="8" eb="10">
      <t>ドウニュウ</t>
    </rPh>
    <rPh sb="10" eb="11">
      <t>ヒ</t>
    </rPh>
    <phoneticPr fontId="54"/>
  </si>
  <si>
    <t>規格等認証・登録費</t>
    <rPh sb="0" eb="2">
      <t>キカク</t>
    </rPh>
    <rPh sb="2" eb="3">
      <t>ナド</t>
    </rPh>
    <rPh sb="3" eb="5">
      <t>ニンショウ</t>
    </rPh>
    <rPh sb="6" eb="8">
      <t>トウロク</t>
    </rPh>
    <rPh sb="8" eb="9">
      <t>ヒ</t>
    </rPh>
    <phoneticPr fontId="42"/>
  </si>
  <si>
    <t>設備等導入費</t>
    <phoneticPr fontId="42"/>
  </si>
  <si>
    <t>システム等導入費</t>
    <rPh sb="4" eb="5">
      <t>ナド</t>
    </rPh>
    <rPh sb="5" eb="7">
      <t>ドウニュウ</t>
    </rPh>
    <rPh sb="7" eb="8">
      <t>ヒ</t>
    </rPh>
    <phoneticPr fontId="42"/>
  </si>
  <si>
    <t>専門家指導費</t>
    <rPh sb="0" eb="3">
      <t>センモンカ</t>
    </rPh>
    <rPh sb="3" eb="6">
      <t>シドウヒ</t>
    </rPh>
    <phoneticPr fontId="42"/>
  </si>
  <si>
    <t>不動産賃借料</t>
    <rPh sb="0" eb="3">
      <t>フドウサン</t>
    </rPh>
    <rPh sb="3" eb="6">
      <t>チンシャクリョウ</t>
    </rPh>
    <phoneticPr fontId="42"/>
  </si>
  <si>
    <t>販売促進費</t>
    <rPh sb="0" eb="5">
      <t>ハンバイソクシンヒ</t>
    </rPh>
    <phoneticPr fontId="41"/>
  </si>
  <si>
    <r>
      <t xml:space="preserve">その他経費　　   </t>
    </r>
    <r>
      <rPr>
        <sz val="10"/>
        <rFont val="ＭＳ 明朝"/>
        <family val="1"/>
        <charset val="128"/>
      </rPr>
      <t/>
    </r>
    <phoneticPr fontId="54"/>
  </si>
  <si>
    <r>
      <t xml:space="preserve">助成対象外経費　 </t>
    </r>
    <r>
      <rPr>
        <sz val="10"/>
        <rFont val="ＭＳ 明朝"/>
        <family val="1"/>
        <charset val="128"/>
      </rPr>
      <t/>
    </r>
    <phoneticPr fontId="54"/>
  </si>
  <si>
    <t>（２）資金調達内訳</t>
    <phoneticPr fontId="54"/>
  </si>
  <si>
    <t>&lt;留意事項&gt;</t>
    <rPh sb="1" eb="3">
      <t>リュウイ</t>
    </rPh>
    <rPh sb="3" eb="5">
      <t>ジコウ</t>
    </rPh>
    <phoneticPr fontId="42"/>
  </si>
  <si>
    <t>【税抜】</t>
    <rPh sb="1" eb="3">
      <t>ゼイヌ</t>
    </rPh>
    <phoneticPr fontId="42"/>
  </si>
  <si>
    <t>【税込】</t>
    <phoneticPr fontId="42"/>
  </si>
  <si>
    <t>（単位：円）</t>
    <rPh sb="1" eb="3">
      <t>タンイ</t>
    </rPh>
    <rPh sb="4" eb="5">
      <t>エン</t>
    </rPh>
    <phoneticPr fontId="42"/>
  </si>
  <si>
    <t>支出</t>
    <rPh sb="0" eb="2">
      <t>シシュツ</t>
    </rPh>
    <phoneticPr fontId="42"/>
  </si>
  <si>
    <t>品名</t>
    <phoneticPr fontId="42"/>
  </si>
  <si>
    <t>用途</t>
    <rPh sb="0" eb="2">
      <t>ヨウト</t>
    </rPh>
    <phoneticPr fontId="42"/>
  </si>
  <si>
    <t>調達</t>
    <rPh sb="0" eb="2">
      <t>チョウタツ</t>
    </rPh>
    <phoneticPr fontId="42"/>
  </si>
  <si>
    <t>数量</t>
    <rPh sb="0" eb="2">
      <t>スウリョウ</t>
    </rPh>
    <phoneticPr fontId="42"/>
  </si>
  <si>
    <t>単価</t>
    <rPh sb="0" eb="2">
      <t>タンカ</t>
    </rPh>
    <phoneticPr fontId="42"/>
  </si>
  <si>
    <t>助成対象経費</t>
    <phoneticPr fontId="42"/>
  </si>
  <si>
    <t>助成事業に</t>
    <rPh sb="0" eb="4">
      <t>ジョセイジギョウ</t>
    </rPh>
    <phoneticPr fontId="42"/>
  </si>
  <si>
    <t>＜留意事項＞</t>
    <rPh sb="1" eb="3">
      <t>リュウイ</t>
    </rPh>
    <rPh sb="3" eb="5">
      <t>ジコウ</t>
    </rPh>
    <phoneticPr fontId="42"/>
  </si>
  <si>
    <t>番号</t>
    <rPh sb="0" eb="2">
      <t>バンゴウ</t>
    </rPh>
    <phoneticPr fontId="42"/>
  </si>
  <si>
    <t>(取組に必要な理由)</t>
    <phoneticPr fontId="42"/>
  </si>
  <si>
    <t>方法</t>
    <rPh sb="0" eb="2">
      <t>ホウホウ</t>
    </rPh>
    <phoneticPr fontId="42"/>
  </si>
  <si>
    <t>(A)</t>
    <phoneticPr fontId="42"/>
  </si>
  <si>
    <t>(B)</t>
    <phoneticPr fontId="42"/>
  </si>
  <si>
    <t>（A）×(B)</t>
    <phoneticPr fontId="42"/>
  </si>
  <si>
    <t>要する経費</t>
    <rPh sb="0" eb="1">
      <t>ヨウ</t>
    </rPh>
    <rPh sb="3" eb="5">
      <t>ケイヒ</t>
    </rPh>
    <phoneticPr fontId="42"/>
  </si>
  <si>
    <t>見積書</t>
    <rPh sb="0" eb="3">
      <t>ミツモリショ</t>
    </rPh>
    <phoneticPr fontId="42"/>
  </si>
  <si>
    <t>相見積</t>
    <rPh sb="0" eb="3">
      <t>アイミツモリ</t>
    </rPh>
    <phoneticPr fontId="42"/>
  </si>
  <si>
    <t>原-1</t>
    <rPh sb="0" eb="1">
      <t>ゲン</t>
    </rPh>
    <phoneticPr fontId="42"/>
  </si>
  <si>
    <t>原-2</t>
    <rPh sb="0" eb="1">
      <t>ゲン</t>
    </rPh>
    <phoneticPr fontId="42"/>
  </si>
  <si>
    <t>原-3</t>
    <rPh sb="0" eb="1">
      <t>ゲン</t>
    </rPh>
    <phoneticPr fontId="42"/>
  </si>
  <si>
    <t>原-4</t>
    <rPh sb="0" eb="1">
      <t>ゲン</t>
    </rPh>
    <phoneticPr fontId="42"/>
  </si>
  <si>
    <t>原-5</t>
    <rPh sb="0" eb="1">
      <t>ゲン</t>
    </rPh>
    <phoneticPr fontId="42"/>
  </si>
  <si>
    <t>原-6</t>
    <rPh sb="0" eb="1">
      <t>ゲン</t>
    </rPh>
    <phoneticPr fontId="42"/>
  </si>
  <si>
    <t>原-7</t>
    <rPh sb="0" eb="1">
      <t>ゲン</t>
    </rPh>
    <phoneticPr fontId="42"/>
  </si>
  <si>
    <t>原-8</t>
    <rPh sb="0" eb="1">
      <t>ゲン</t>
    </rPh>
    <phoneticPr fontId="42"/>
  </si>
  <si>
    <t>原-9</t>
    <rPh sb="0" eb="1">
      <t>ゲン</t>
    </rPh>
    <phoneticPr fontId="42"/>
  </si>
  <si>
    <t>原-10</t>
    <rPh sb="0" eb="1">
      <t>ゲン</t>
    </rPh>
    <phoneticPr fontId="42"/>
  </si>
  <si>
    <t>原-11</t>
    <rPh sb="0" eb="1">
      <t>ゲン</t>
    </rPh>
    <phoneticPr fontId="42"/>
  </si>
  <si>
    <t>原-12</t>
    <rPh sb="0" eb="1">
      <t>ゲン</t>
    </rPh>
    <phoneticPr fontId="42"/>
  </si>
  <si>
    <t>原-13</t>
    <rPh sb="0" eb="1">
      <t>ゲン</t>
    </rPh>
    <phoneticPr fontId="42"/>
  </si>
  <si>
    <t>原-14</t>
    <rPh sb="0" eb="1">
      <t>ゲン</t>
    </rPh>
    <phoneticPr fontId="42"/>
  </si>
  <si>
    <t>原-15</t>
    <rPh sb="0" eb="1">
      <t>ゲン</t>
    </rPh>
    <phoneticPr fontId="42"/>
  </si>
  <si>
    <t>・１品あたりの金額(単価)が税抜10万円未満の経費は、申請できません。</t>
    <rPh sb="2" eb="3">
      <t>ピン</t>
    </rPh>
    <rPh sb="7" eb="9">
      <t>キンガク</t>
    </rPh>
    <rPh sb="10" eb="12">
      <t>タンカ</t>
    </rPh>
    <rPh sb="14" eb="16">
      <t>ゼ</t>
    </rPh>
    <rPh sb="18" eb="20">
      <t>マンエン</t>
    </rPh>
    <rPh sb="20" eb="22">
      <t>ミマン</t>
    </rPh>
    <rPh sb="23" eb="25">
      <t>ケイヒ</t>
    </rPh>
    <rPh sb="27" eb="29">
      <t>シンセイ</t>
    </rPh>
    <phoneticPr fontId="41"/>
  </si>
  <si>
    <r>
      <rPr>
        <sz val="11"/>
        <color theme="1"/>
        <rFont val="游ゴシック"/>
        <family val="3"/>
        <charset val="128"/>
        <scheme val="minor"/>
      </rPr>
      <t>※調達方法がリース又はレンタルの場合、</t>
    </r>
    <r>
      <rPr>
        <b/>
        <u/>
        <sz val="11"/>
        <rFont val="游ゴシック"/>
        <family val="3"/>
        <charset val="128"/>
        <scheme val="minor"/>
      </rPr>
      <t>(A)に月数、(B)に月額料金</t>
    </r>
    <r>
      <rPr>
        <sz val="11"/>
        <rFont val="游ゴシック"/>
        <family val="3"/>
        <charset val="128"/>
        <scheme val="minor"/>
      </rPr>
      <t>を記入してください。</t>
    </r>
    <rPh sb="1" eb="5">
      <t>チョウタツホウホウ</t>
    </rPh>
    <rPh sb="9" eb="10">
      <t>マタ</t>
    </rPh>
    <rPh sb="23" eb="25">
      <t>ツキスウ</t>
    </rPh>
    <rPh sb="33" eb="34">
      <t>キン</t>
    </rPh>
    <rPh sb="35" eb="37">
      <t>キニュウ</t>
    </rPh>
    <phoneticPr fontId="42"/>
  </si>
  <si>
    <t>＜留意事項＞</t>
    <rPh sb="1" eb="5">
      <t>リュウイジコウ</t>
    </rPh>
    <phoneticPr fontId="42"/>
  </si>
  <si>
    <t>機-1</t>
    <rPh sb="0" eb="1">
      <t>キ</t>
    </rPh>
    <phoneticPr fontId="42"/>
  </si>
  <si>
    <t>機-2</t>
    <rPh sb="0" eb="1">
      <t>キ</t>
    </rPh>
    <phoneticPr fontId="42"/>
  </si>
  <si>
    <t>機-3</t>
    <rPh sb="0" eb="1">
      <t>キ</t>
    </rPh>
    <phoneticPr fontId="42"/>
  </si>
  <si>
    <t>機-4</t>
    <rPh sb="0" eb="1">
      <t>キ</t>
    </rPh>
    <phoneticPr fontId="42"/>
  </si>
  <si>
    <t>機-5</t>
    <rPh sb="0" eb="1">
      <t>キ</t>
    </rPh>
    <phoneticPr fontId="42"/>
  </si>
  <si>
    <t>＜機械装置・工具器具購入計画書＞</t>
    <rPh sb="1" eb="3">
      <t>キカイ</t>
    </rPh>
    <rPh sb="3" eb="5">
      <t>ソウチ</t>
    </rPh>
    <rPh sb="6" eb="8">
      <t>コウグ</t>
    </rPh>
    <rPh sb="8" eb="10">
      <t>キグ</t>
    </rPh>
    <rPh sb="10" eb="12">
      <t>コウニュウ</t>
    </rPh>
    <rPh sb="12" eb="15">
      <t>ケイカクショ</t>
    </rPh>
    <phoneticPr fontId="54"/>
  </si>
  <si>
    <t>・表が足りない場合は、印刷範囲を広げて使用欄を増やしてください。</t>
    <rPh sb="1" eb="2">
      <t>ヒョウ</t>
    </rPh>
    <rPh sb="3" eb="4">
      <t>タ</t>
    </rPh>
    <rPh sb="7" eb="9">
      <t>バアイ</t>
    </rPh>
    <rPh sb="11" eb="15">
      <t>インサツハンイ</t>
    </rPh>
    <rPh sb="16" eb="17">
      <t>ヒロ</t>
    </rPh>
    <rPh sb="19" eb="22">
      <t>シヨウラン</t>
    </rPh>
    <rPh sb="23" eb="24">
      <t>フ</t>
    </rPh>
    <phoneticPr fontId="54"/>
  </si>
  <si>
    <t>購入が必要な理由</t>
    <rPh sb="0" eb="2">
      <t>コウニュウ</t>
    </rPh>
    <rPh sb="3" eb="5">
      <t>ヒツヨウ</t>
    </rPh>
    <rPh sb="6" eb="8">
      <t>リユウ</t>
    </rPh>
    <phoneticPr fontId="54"/>
  </si>
  <si>
    <t>上記購入先は、自社と資本関係、役員または従業員の兼務、自社の代表者３親等以内の親族による経営ではない。</t>
    <rPh sb="0" eb="2">
      <t>ジョウキ</t>
    </rPh>
    <rPh sb="2" eb="4">
      <t>コウニュウ</t>
    </rPh>
    <rPh sb="4" eb="5">
      <t>サキ</t>
    </rPh>
    <rPh sb="7" eb="9">
      <t>ジシャ</t>
    </rPh>
    <rPh sb="10" eb="12">
      <t>シホン</t>
    </rPh>
    <rPh sb="12" eb="14">
      <t>カンケイ</t>
    </rPh>
    <rPh sb="15" eb="17">
      <t>ヤクイン</t>
    </rPh>
    <rPh sb="20" eb="23">
      <t>ジュウギョウイン</t>
    </rPh>
    <rPh sb="24" eb="26">
      <t>ケンム</t>
    </rPh>
    <rPh sb="27" eb="29">
      <t>ジシャ</t>
    </rPh>
    <rPh sb="30" eb="33">
      <t>ダイヒョウシャ</t>
    </rPh>
    <rPh sb="34" eb="36">
      <t>シントウ</t>
    </rPh>
    <rPh sb="36" eb="38">
      <t>イナイ</t>
    </rPh>
    <rPh sb="39" eb="41">
      <t>シンゾク</t>
    </rPh>
    <rPh sb="44" eb="46">
      <t>ケイエイ</t>
    </rPh>
    <phoneticPr fontId="54"/>
  </si>
  <si>
    <t>選択してください</t>
  </si>
  <si>
    <t>委-1</t>
    <rPh sb="0" eb="1">
      <t>イ</t>
    </rPh>
    <phoneticPr fontId="42"/>
  </si>
  <si>
    <t>委-2</t>
    <rPh sb="0" eb="1">
      <t>イ</t>
    </rPh>
    <phoneticPr fontId="42"/>
  </si>
  <si>
    <t>委-3</t>
    <rPh sb="0" eb="1">
      <t>イ</t>
    </rPh>
    <phoneticPr fontId="42"/>
  </si>
  <si>
    <t>委-4</t>
    <rPh sb="0" eb="1">
      <t>イ</t>
    </rPh>
    <phoneticPr fontId="42"/>
  </si>
  <si>
    <t>委-5</t>
    <rPh sb="0" eb="1">
      <t>イ</t>
    </rPh>
    <phoneticPr fontId="42"/>
  </si>
  <si>
    <t>＜委託・外注計画書＞</t>
    <phoneticPr fontId="42"/>
  </si>
  <si>
    <r>
      <t>・計上した</t>
    </r>
    <r>
      <rPr>
        <b/>
        <sz val="11"/>
        <color theme="1"/>
        <rFont val="游ゴシック"/>
        <family val="3"/>
        <charset val="128"/>
        <scheme val="minor"/>
      </rPr>
      <t>全ての委託・外注先</t>
    </r>
    <r>
      <rPr>
        <sz val="11"/>
        <color theme="1"/>
        <rFont val="游ゴシック"/>
        <family val="2"/>
        <scheme val="minor"/>
      </rPr>
      <t>について記載してください。</t>
    </r>
    <phoneticPr fontId="42"/>
  </si>
  <si>
    <t>・表が足りない場合は、印刷範囲を広げて使用欄を増やしてください。</t>
    <phoneticPr fontId="42"/>
  </si>
  <si>
    <t>支出番号</t>
    <rPh sb="0" eb="2">
      <t>シシュツ</t>
    </rPh>
    <rPh sb="2" eb="4">
      <t>バンゴウ</t>
    </rPh>
    <phoneticPr fontId="42"/>
  </si>
  <si>
    <t>契約予定期間</t>
    <rPh sb="0" eb="2">
      <t>ケイヤク</t>
    </rPh>
    <rPh sb="2" eb="4">
      <t>ヨテイ</t>
    </rPh>
    <rPh sb="4" eb="6">
      <t>キカン</t>
    </rPh>
    <phoneticPr fontId="54"/>
  </si>
  <si>
    <t>令和　　　年　　　月　　　～　　　令和　　　年　　　月</t>
    <rPh sb="0" eb="2">
      <t>レイワ</t>
    </rPh>
    <rPh sb="5" eb="6">
      <t>ネン</t>
    </rPh>
    <rPh sb="9" eb="10">
      <t>ガツ</t>
    </rPh>
    <rPh sb="17" eb="19">
      <t>レイワ</t>
    </rPh>
    <rPh sb="22" eb="23">
      <t>ネン</t>
    </rPh>
    <rPh sb="26" eb="27">
      <t>ガツ</t>
    </rPh>
    <phoneticPr fontId="42"/>
  </si>
  <si>
    <t>委託・外注内容</t>
    <rPh sb="0" eb="2">
      <t>イタク</t>
    </rPh>
    <rPh sb="3" eb="5">
      <t>ガイチュウ</t>
    </rPh>
    <rPh sb="5" eb="7">
      <t>ナイヨウ</t>
    </rPh>
    <phoneticPr fontId="54"/>
  </si>
  <si>
    <t>選定理由</t>
    <rPh sb="0" eb="2">
      <t>センテイ</t>
    </rPh>
    <rPh sb="2" eb="4">
      <t>リユウ</t>
    </rPh>
    <phoneticPr fontId="54"/>
  </si>
  <si>
    <t>上記委託先は、自社と資本関係、役員または従業員の兼務、自社の代表者３親等以内の親族による経営ではない。</t>
    <rPh sb="2" eb="4">
      <t>イタク</t>
    </rPh>
    <phoneticPr fontId="42"/>
  </si>
  <si>
    <t>　・１契約あたり30万円以上の項目は、申請時に見積書・カタログ等の提出が必要です。</t>
    <rPh sb="19" eb="22">
      <t>シンセイジ</t>
    </rPh>
    <rPh sb="23" eb="26">
      <t>ミツモリショ</t>
    </rPh>
    <rPh sb="31" eb="32">
      <t>トウ</t>
    </rPh>
    <rPh sb="33" eb="35">
      <t>テイシュツ</t>
    </rPh>
    <rPh sb="36" eb="38">
      <t>ヒツヨウ</t>
    </rPh>
    <phoneticPr fontId="41"/>
  </si>
  <si>
    <t>　・１契約あたり100万円以上の項目は、相見積の結果を「相見積」シートに記載してください。</t>
    <phoneticPr fontId="41"/>
  </si>
  <si>
    <t>産-1</t>
    <rPh sb="0" eb="1">
      <t>サン</t>
    </rPh>
    <phoneticPr fontId="42"/>
  </si>
  <si>
    <t>産-2</t>
    <rPh sb="0" eb="1">
      <t>サン</t>
    </rPh>
    <phoneticPr fontId="42"/>
  </si>
  <si>
    <t>産-3</t>
    <rPh sb="0" eb="1">
      <t>サン</t>
    </rPh>
    <phoneticPr fontId="42"/>
  </si>
  <si>
    <t>産-4</t>
    <rPh sb="0" eb="1">
      <t>サン</t>
    </rPh>
    <phoneticPr fontId="42"/>
  </si>
  <si>
    <t>産-5</t>
    <rPh sb="0" eb="1">
      <t>サン</t>
    </rPh>
    <phoneticPr fontId="42"/>
  </si>
  <si>
    <t>〈産業財産権（特許権、実用新案権、意匠権、商標権）詳細〉</t>
    <phoneticPr fontId="41"/>
  </si>
  <si>
    <r>
      <t>（１）先行技術調査の結果（特許情報プラットフォームJ</t>
    </r>
    <r>
      <rPr>
        <sz val="11"/>
        <color theme="1"/>
        <rFont val="游ゴシック"/>
        <family val="2"/>
        <scheme val="minor"/>
      </rPr>
      <t>-PlatPat等により検索）</t>
    </r>
    <rPh sb="3" eb="7">
      <t>センコウギジュツ</t>
    </rPh>
    <rPh sb="7" eb="9">
      <t>チョウサ</t>
    </rPh>
    <rPh sb="10" eb="12">
      <t>ケッカ</t>
    </rPh>
    <rPh sb="13" eb="17">
      <t>トッキョジョウホウ</t>
    </rPh>
    <rPh sb="34" eb="35">
      <t>トウ</t>
    </rPh>
    <rPh sb="38" eb="40">
      <t>ケンサク</t>
    </rPh>
    <phoneticPr fontId="41"/>
  </si>
  <si>
    <t>類似特許番号</t>
    <rPh sb="0" eb="2">
      <t>ルイジ</t>
    </rPh>
    <rPh sb="2" eb="6">
      <t>トッキョバンゴウ</t>
    </rPh>
    <phoneticPr fontId="41"/>
  </si>
  <si>
    <t>類似特許との相違点</t>
    <rPh sb="0" eb="4">
      <t>ルイジトッキョ</t>
    </rPh>
    <rPh sb="6" eb="9">
      <t>ソウイテン</t>
    </rPh>
    <phoneticPr fontId="41"/>
  </si>
  <si>
    <t>（２）今回の取組に必要な産業財産権を出願又は保有しているか</t>
    <rPh sb="3" eb="5">
      <t>コンカイ</t>
    </rPh>
    <rPh sb="6" eb="8">
      <t>トリクミ</t>
    </rPh>
    <rPh sb="9" eb="11">
      <t>ヒツヨウ</t>
    </rPh>
    <rPh sb="12" eb="17">
      <t>サンギョウザイサンケン</t>
    </rPh>
    <rPh sb="18" eb="20">
      <t>シュツガン</t>
    </rPh>
    <rPh sb="20" eb="21">
      <t>マタ</t>
    </rPh>
    <rPh sb="22" eb="24">
      <t>ホユウ</t>
    </rPh>
    <phoneticPr fontId="41"/>
  </si>
  <si>
    <t>　※「はい」の場合、それはどのような権利か</t>
    <rPh sb="7" eb="9">
      <t>バアイ</t>
    </rPh>
    <rPh sb="18" eb="20">
      <t>ケンリ</t>
    </rPh>
    <phoneticPr fontId="41"/>
  </si>
  <si>
    <t>公開番号又は登録番号等</t>
    <rPh sb="0" eb="4">
      <t>コウカイバンゴウ</t>
    </rPh>
    <rPh sb="4" eb="5">
      <t>マタ</t>
    </rPh>
    <rPh sb="6" eb="8">
      <t>トウロク</t>
    </rPh>
    <rPh sb="8" eb="10">
      <t>バンゴウ</t>
    </rPh>
    <rPh sb="10" eb="11">
      <t>ナド</t>
    </rPh>
    <phoneticPr fontId="41"/>
  </si>
  <si>
    <t>（４）今回の取組の成果を産業財産権として出願する予定か</t>
    <rPh sb="3" eb="5">
      <t>コンカイ</t>
    </rPh>
    <rPh sb="6" eb="8">
      <t>トリクミ</t>
    </rPh>
    <rPh sb="9" eb="11">
      <t>セイカ</t>
    </rPh>
    <rPh sb="12" eb="17">
      <t>サンギョウザイサンケン</t>
    </rPh>
    <rPh sb="20" eb="22">
      <t>シュツガン</t>
    </rPh>
    <rPh sb="24" eb="26">
      <t>ヨテイ</t>
    </rPh>
    <phoneticPr fontId="41"/>
  </si>
  <si>
    <t>規-1</t>
    <rPh sb="0" eb="1">
      <t>ノリ</t>
    </rPh>
    <phoneticPr fontId="42"/>
  </si>
  <si>
    <t>規-2</t>
    <rPh sb="0" eb="1">
      <t>ノリ</t>
    </rPh>
    <phoneticPr fontId="42"/>
  </si>
  <si>
    <t>規-3</t>
    <rPh sb="0" eb="1">
      <t>ノリ</t>
    </rPh>
    <phoneticPr fontId="42"/>
  </si>
  <si>
    <t>規-4</t>
    <rPh sb="0" eb="1">
      <t>ノリ</t>
    </rPh>
    <phoneticPr fontId="42"/>
  </si>
  <si>
    <t>規-5</t>
    <rPh sb="0" eb="1">
      <t>ノリ</t>
    </rPh>
    <phoneticPr fontId="42"/>
  </si>
  <si>
    <t>＜規格等認証・登録計画書＞</t>
    <rPh sb="1" eb="4">
      <t>キカクトウ</t>
    </rPh>
    <rPh sb="4" eb="6">
      <t>ニンショウ</t>
    </rPh>
    <rPh sb="7" eb="9">
      <t>トウロク</t>
    </rPh>
    <phoneticPr fontId="42"/>
  </si>
  <si>
    <r>
      <t>・計上した</t>
    </r>
    <r>
      <rPr>
        <b/>
        <sz val="11"/>
        <color theme="1"/>
        <rFont val="游ゴシック"/>
        <family val="3"/>
        <charset val="128"/>
        <scheme val="minor"/>
      </rPr>
      <t>全ての経費</t>
    </r>
    <r>
      <rPr>
        <sz val="11"/>
        <color theme="1"/>
        <rFont val="游ゴシック"/>
        <family val="2"/>
        <scheme val="minor"/>
      </rPr>
      <t>について記載してください。</t>
    </r>
    <rPh sb="8" eb="10">
      <t>ケイヒ</t>
    </rPh>
    <phoneticPr fontId="42"/>
  </si>
  <si>
    <t>　・１品あたりの金額(単価)が税抜10万円未満の経費は、申請できません。</t>
    <rPh sb="3" eb="4">
      <t>ピン</t>
    </rPh>
    <rPh sb="8" eb="10">
      <t>キンガク</t>
    </rPh>
    <rPh sb="11" eb="13">
      <t>タンカ</t>
    </rPh>
    <rPh sb="15" eb="17">
      <t>ゼ</t>
    </rPh>
    <rPh sb="19" eb="21">
      <t>マンエン</t>
    </rPh>
    <rPh sb="21" eb="23">
      <t>ミマン</t>
    </rPh>
    <rPh sb="24" eb="26">
      <t>ケイヒ</t>
    </rPh>
    <rPh sb="28" eb="30">
      <t>シンセイ</t>
    </rPh>
    <phoneticPr fontId="41"/>
  </si>
  <si>
    <t>製品名　又は</t>
    <rPh sb="0" eb="3">
      <t>セイヒンメイ</t>
    </rPh>
    <rPh sb="4" eb="5">
      <t>マタ</t>
    </rPh>
    <phoneticPr fontId="42"/>
  </si>
  <si>
    <t>施工内容</t>
    <rPh sb="0" eb="2">
      <t>セコウ</t>
    </rPh>
    <rPh sb="2" eb="4">
      <t>ナイヨウ</t>
    </rPh>
    <phoneticPr fontId="42"/>
  </si>
  <si>
    <t>内容</t>
    <rPh sb="0" eb="2">
      <t>ナイヨウ</t>
    </rPh>
    <phoneticPr fontId="42"/>
  </si>
  <si>
    <t>設-1</t>
    <rPh sb="0" eb="1">
      <t>セツ</t>
    </rPh>
    <phoneticPr fontId="42"/>
  </si>
  <si>
    <t>設-2</t>
    <rPh sb="0" eb="1">
      <t>セツ</t>
    </rPh>
    <phoneticPr fontId="42"/>
  </si>
  <si>
    <t>設-3</t>
    <rPh sb="0" eb="1">
      <t>セツ</t>
    </rPh>
    <phoneticPr fontId="42"/>
  </si>
  <si>
    <t>設-4</t>
    <rPh sb="0" eb="1">
      <t>セツ</t>
    </rPh>
    <phoneticPr fontId="42"/>
  </si>
  <si>
    <t>設-5</t>
    <rPh sb="0" eb="1">
      <t>セツ</t>
    </rPh>
    <phoneticPr fontId="42"/>
  </si>
  <si>
    <t>設-6</t>
    <rPh sb="0" eb="1">
      <t>セツ</t>
    </rPh>
    <phoneticPr fontId="42"/>
  </si>
  <si>
    <t>設-7</t>
    <rPh sb="0" eb="1">
      <t>セツ</t>
    </rPh>
    <phoneticPr fontId="42"/>
  </si>
  <si>
    <t>設-8</t>
    <rPh sb="0" eb="1">
      <t>セツ</t>
    </rPh>
    <phoneticPr fontId="42"/>
  </si>
  <si>
    <t>設-9</t>
    <rPh sb="0" eb="1">
      <t>セツ</t>
    </rPh>
    <phoneticPr fontId="42"/>
  </si>
  <si>
    <t>設-10</t>
    <rPh sb="0" eb="1">
      <t>セツ</t>
    </rPh>
    <phoneticPr fontId="42"/>
  </si>
  <si>
    <r>
      <t>※調達方法がリースの場合、</t>
    </r>
    <r>
      <rPr>
        <b/>
        <u/>
        <sz val="11"/>
        <rFont val="游ゴシック"/>
        <family val="3"/>
        <charset val="128"/>
        <scheme val="minor"/>
      </rPr>
      <t>(A)に月数、(B)に月額料金</t>
    </r>
    <r>
      <rPr>
        <sz val="11"/>
        <rFont val="游ゴシック"/>
        <family val="3"/>
        <charset val="128"/>
        <scheme val="minor"/>
      </rPr>
      <t>を記入してください。</t>
    </r>
    <rPh sb="1" eb="5">
      <t>チョウタツホウホウ</t>
    </rPh>
    <rPh sb="17" eb="19">
      <t>ツキスウ</t>
    </rPh>
    <rPh sb="27" eb="28">
      <t>キン</t>
    </rPh>
    <rPh sb="29" eb="31">
      <t>キニュウ</t>
    </rPh>
    <phoneticPr fontId="42"/>
  </si>
  <si>
    <t>シ-1</t>
    <phoneticPr fontId="42"/>
  </si>
  <si>
    <t>シ-2</t>
    <phoneticPr fontId="42"/>
  </si>
  <si>
    <t>シ-3</t>
  </si>
  <si>
    <t>シ-4</t>
  </si>
  <si>
    <t>シ-5</t>
  </si>
  <si>
    <t>シ-6</t>
  </si>
  <si>
    <t>シ-7</t>
  </si>
  <si>
    <t>シ-8</t>
  </si>
  <si>
    <t>シ-9</t>
  </si>
  <si>
    <t>シ-10</t>
  </si>
  <si>
    <t>指導日数</t>
    <rPh sb="0" eb="2">
      <t>シドウ</t>
    </rPh>
    <rPh sb="2" eb="4">
      <t>ニッスウ</t>
    </rPh>
    <phoneticPr fontId="42"/>
  </si>
  <si>
    <t>専-1</t>
    <rPh sb="0" eb="1">
      <t>セン</t>
    </rPh>
    <phoneticPr fontId="42"/>
  </si>
  <si>
    <t>専-2</t>
    <rPh sb="0" eb="1">
      <t>セン</t>
    </rPh>
    <phoneticPr fontId="42"/>
  </si>
  <si>
    <t>専-3</t>
    <rPh sb="0" eb="1">
      <t>セン</t>
    </rPh>
    <phoneticPr fontId="42"/>
  </si>
  <si>
    <t>専-4</t>
    <rPh sb="0" eb="1">
      <t>セン</t>
    </rPh>
    <phoneticPr fontId="42"/>
  </si>
  <si>
    <t>専-5</t>
    <rPh sb="0" eb="1">
      <t>セン</t>
    </rPh>
    <phoneticPr fontId="42"/>
  </si>
  <si>
    <t>＜専門家指導の計画書＞</t>
    <rPh sb="1" eb="4">
      <t>センモンカ</t>
    </rPh>
    <rPh sb="4" eb="6">
      <t>シドウ</t>
    </rPh>
    <phoneticPr fontId="50"/>
  </si>
  <si>
    <r>
      <t>　・計上した</t>
    </r>
    <r>
      <rPr>
        <b/>
        <u/>
        <sz val="11"/>
        <rFont val="游ゴシック"/>
        <family val="3"/>
        <charset val="128"/>
        <scheme val="minor"/>
      </rPr>
      <t>全ての専門家</t>
    </r>
    <r>
      <rPr>
        <sz val="11"/>
        <rFont val="游ゴシック"/>
        <family val="3"/>
        <charset val="128"/>
        <scheme val="minor"/>
      </rPr>
      <t>について記載してください。表が足りない場合、印刷範囲を広げて使用欄を増やしてください。</t>
    </r>
    <rPh sb="9" eb="12">
      <t>センモンカ</t>
    </rPh>
    <rPh sb="34" eb="36">
      <t>インサツ</t>
    </rPh>
    <rPh sb="36" eb="38">
      <t>ハンイ</t>
    </rPh>
    <rPh sb="39" eb="40">
      <t>ヒロ</t>
    </rPh>
    <rPh sb="42" eb="45">
      <t>シヨウラン</t>
    </rPh>
    <rPh sb="46" eb="47">
      <t>フ</t>
    </rPh>
    <phoneticPr fontId="50"/>
  </si>
  <si>
    <t>経歴・実績</t>
    <rPh sb="0" eb="2">
      <t>ケイレキ</t>
    </rPh>
    <rPh sb="3" eb="5">
      <t>ジッセキ</t>
    </rPh>
    <phoneticPr fontId="50"/>
  </si>
  <si>
    <t>契約予定期間</t>
    <rPh sb="0" eb="2">
      <t>ケイヤク</t>
    </rPh>
    <rPh sb="2" eb="4">
      <t>ヨテイ</t>
    </rPh>
    <rPh sb="4" eb="6">
      <t>キカン</t>
    </rPh>
    <phoneticPr fontId="50"/>
  </si>
  <si>
    <t>指導内容</t>
    <rPh sb="0" eb="2">
      <t>シドウ</t>
    </rPh>
    <rPh sb="2" eb="4">
      <t>ナイヨウ</t>
    </rPh>
    <phoneticPr fontId="50"/>
  </si>
  <si>
    <t>上記指導先は、自社と資本関係、役員または従業員の兼務、自社の代表者３親等以内の親族による経営ではない。</t>
    <rPh sb="2" eb="4">
      <t>シドウ</t>
    </rPh>
    <rPh sb="4" eb="5">
      <t>サキ</t>
    </rPh>
    <phoneticPr fontId="42"/>
  </si>
  <si>
    <t>施設名称</t>
    <rPh sb="0" eb="2">
      <t>シセツ</t>
    </rPh>
    <rPh sb="2" eb="4">
      <t>メイショウ</t>
    </rPh>
    <phoneticPr fontId="42"/>
  </si>
  <si>
    <t>賃借月数</t>
    <rPh sb="0" eb="2">
      <t>チンシャク</t>
    </rPh>
    <rPh sb="2" eb="4">
      <t>ゲッスウ</t>
    </rPh>
    <phoneticPr fontId="42"/>
  </si>
  <si>
    <t>月額賃料</t>
    <rPh sb="0" eb="2">
      <t>ゲツガク</t>
    </rPh>
    <rPh sb="2" eb="4">
      <t>チンリョウ</t>
    </rPh>
    <phoneticPr fontId="42"/>
  </si>
  <si>
    <t>賃-1</t>
    <rPh sb="0" eb="1">
      <t>チン</t>
    </rPh>
    <phoneticPr fontId="42"/>
  </si>
  <si>
    <t>賃-2</t>
    <rPh sb="0" eb="1">
      <t>チン</t>
    </rPh>
    <phoneticPr fontId="42"/>
  </si>
  <si>
    <t>賃-3</t>
    <rPh sb="0" eb="1">
      <t>チン</t>
    </rPh>
    <phoneticPr fontId="42"/>
  </si>
  <si>
    <t>賃-4</t>
    <rPh sb="0" eb="1">
      <t>チン</t>
    </rPh>
    <phoneticPr fontId="42"/>
  </si>
  <si>
    <t>賃-5</t>
    <rPh sb="0" eb="1">
      <t>チン</t>
    </rPh>
    <phoneticPr fontId="42"/>
  </si>
  <si>
    <t>＜賃借計画書＞</t>
    <rPh sb="1" eb="3">
      <t>チンシャク</t>
    </rPh>
    <rPh sb="3" eb="6">
      <t>ケイカクショ</t>
    </rPh>
    <phoneticPr fontId="41"/>
  </si>
  <si>
    <r>
      <t>　・計上した</t>
    </r>
    <r>
      <rPr>
        <b/>
        <u/>
        <sz val="11"/>
        <rFont val="游ゴシック"/>
        <family val="3"/>
        <charset val="128"/>
        <scheme val="minor"/>
      </rPr>
      <t>全ての項目</t>
    </r>
    <r>
      <rPr>
        <sz val="11"/>
        <rFont val="游ゴシック"/>
        <family val="3"/>
        <charset val="128"/>
        <scheme val="minor"/>
      </rPr>
      <t>について記載してください。表が足りない場合、印刷範囲を広げて使用欄を増やしてください。</t>
    </r>
    <rPh sb="9" eb="11">
      <t>コウモク</t>
    </rPh>
    <rPh sb="33" eb="35">
      <t>インサツ</t>
    </rPh>
    <rPh sb="35" eb="37">
      <t>ハンイ</t>
    </rPh>
    <rPh sb="38" eb="39">
      <t>ヒロ</t>
    </rPh>
    <rPh sb="41" eb="44">
      <t>シヨウラン</t>
    </rPh>
    <rPh sb="45" eb="46">
      <t>フ</t>
    </rPh>
    <phoneticPr fontId="50"/>
  </si>
  <si>
    <t>支出番号</t>
    <rPh sb="0" eb="4">
      <t>シシュツバンゴウ</t>
    </rPh>
    <phoneticPr fontId="41"/>
  </si>
  <si>
    <t>賃借施設等</t>
    <rPh sb="0" eb="5">
      <t>チンシャクシセツトウ</t>
    </rPh>
    <phoneticPr fontId="41"/>
  </si>
  <si>
    <t>選定理由</t>
    <rPh sb="0" eb="4">
      <t>センテイリユウ</t>
    </rPh>
    <phoneticPr fontId="41"/>
  </si>
  <si>
    <t>上記賃借について、親会社、子会社、グループ企業等関連企業との関連</t>
    <rPh sb="0" eb="2">
      <t>ジョウキ</t>
    </rPh>
    <rPh sb="2" eb="4">
      <t>チンシャク</t>
    </rPh>
    <rPh sb="9" eb="12">
      <t>オヤガイシャ</t>
    </rPh>
    <rPh sb="13" eb="16">
      <t>コガイシャ</t>
    </rPh>
    <rPh sb="21" eb="23">
      <t>キギョウ</t>
    </rPh>
    <rPh sb="23" eb="24">
      <t>トウ</t>
    </rPh>
    <rPh sb="24" eb="28">
      <t>カンレンキギョウ</t>
    </rPh>
    <rPh sb="30" eb="32">
      <t>カンレン</t>
    </rPh>
    <phoneticPr fontId="41"/>
  </si>
  <si>
    <t>販-1</t>
    <rPh sb="0" eb="1">
      <t>ハン</t>
    </rPh>
    <phoneticPr fontId="42"/>
  </si>
  <si>
    <t>販-2</t>
    <rPh sb="0" eb="1">
      <t>ハン</t>
    </rPh>
    <phoneticPr fontId="42"/>
  </si>
  <si>
    <t>販-3</t>
    <rPh sb="0" eb="1">
      <t>ハン</t>
    </rPh>
    <phoneticPr fontId="42"/>
  </si>
  <si>
    <t>販-4</t>
    <rPh sb="0" eb="1">
      <t>ハン</t>
    </rPh>
    <phoneticPr fontId="42"/>
  </si>
  <si>
    <t>販-5</t>
    <rPh sb="0" eb="1">
      <t>ハン</t>
    </rPh>
    <phoneticPr fontId="42"/>
  </si>
  <si>
    <t>販-6</t>
    <rPh sb="0" eb="1">
      <t>ハン</t>
    </rPh>
    <phoneticPr fontId="42"/>
  </si>
  <si>
    <t>販-7</t>
    <rPh sb="0" eb="1">
      <t>ハン</t>
    </rPh>
    <phoneticPr fontId="42"/>
  </si>
  <si>
    <t>販-8</t>
    <rPh sb="0" eb="1">
      <t>ハン</t>
    </rPh>
    <phoneticPr fontId="42"/>
  </si>
  <si>
    <t>販-9</t>
    <rPh sb="0" eb="1">
      <t>ハン</t>
    </rPh>
    <phoneticPr fontId="42"/>
  </si>
  <si>
    <t>販-10</t>
    <rPh sb="0" eb="1">
      <t>ハン</t>
    </rPh>
    <phoneticPr fontId="42"/>
  </si>
  <si>
    <t>【展示会に出展する場合】</t>
    <rPh sb="1" eb="4">
      <t>テンジカイ</t>
    </rPh>
    <rPh sb="5" eb="7">
      <t>シュッテン</t>
    </rPh>
    <rPh sb="9" eb="11">
      <t>バアイ</t>
    </rPh>
    <phoneticPr fontId="41"/>
  </si>
  <si>
    <t>【ECサイトに出店する場合】</t>
    <rPh sb="7" eb="9">
      <t>シュッテン</t>
    </rPh>
    <rPh sb="11" eb="13">
      <t>バアイ</t>
    </rPh>
    <phoneticPr fontId="41"/>
  </si>
  <si>
    <t>他-1</t>
    <rPh sb="0" eb="1">
      <t>タ</t>
    </rPh>
    <phoneticPr fontId="42"/>
  </si>
  <si>
    <t>他-2</t>
    <rPh sb="0" eb="1">
      <t>タ</t>
    </rPh>
    <phoneticPr fontId="42"/>
  </si>
  <si>
    <t>他-3</t>
    <rPh sb="0" eb="1">
      <t>タ</t>
    </rPh>
    <phoneticPr fontId="42"/>
  </si>
  <si>
    <t>他-4</t>
    <rPh sb="0" eb="1">
      <t>タ</t>
    </rPh>
    <phoneticPr fontId="42"/>
  </si>
  <si>
    <t>他-5</t>
    <rPh sb="0" eb="1">
      <t>タ</t>
    </rPh>
    <phoneticPr fontId="42"/>
  </si>
  <si>
    <t>他-6</t>
    <rPh sb="0" eb="1">
      <t>タ</t>
    </rPh>
    <phoneticPr fontId="42"/>
  </si>
  <si>
    <t>他-7</t>
    <rPh sb="0" eb="1">
      <t>タ</t>
    </rPh>
    <phoneticPr fontId="42"/>
  </si>
  <si>
    <t>他-8</t>
    <rPh sb="0" eb="1">
      <t>タ</t>
    </rPh>
    <phoneticPr fontId="42"/>
  </si>
  <si>
    <t>他-9</t>
    <rPh sb="0" eb="1">
      <t>タ</t>
    </rPh>
    <phoneticPr fontId="42"/>
  </si>
  <si>
    <t>他-10</t>
    <rPh sb="0" eb="1">
      <t>タ</t>
    </rPh>
    <phoneticPr fontId="42"/>
  </si>
  <si>
    <t>＜履行を確認するための書類＞</t>
    <rPh sb="1" eb="3">
      <t>リコウ</t>
    </rPh>
    <rPh sb="4" eb="6">
      <t>カクニン</t>
    </rPh>
    <rPh sb="11" eb="13">
      <t>ショルイ</t>
    </rPh>
    <phoneticPr fontId="42"/>
  </si>
  <si>
    <t>購入品等の現物の有無</t>
    <rPh sb="0" eb="2">
      <t>コウニュウ</t>
    </rPh>
    <rPh sb="2" eb="3">
      <t>ヒン</t>
    </rPh>
    <rPh sb="3" eb="4">
      <t>トウ</t>
    </rPh>
    <rPh sb="5" eb="7">
      <t>ゲンブツ</t>
    </rPh>
    <rPh sb="8" eb="10">
      <t>ウム</t>
    </rPh>
    <phoneticPr fontId="42"/>
  </si>
  <si>
    <t>履行確認書類</t>
    <rPh sb="0" eb="2">
      <t>リコウ</t>
    </rPh>
    <rPh sb="2" eb="4">
      <t>カクニン</t>
    </rPh>
    <rPh sb="4" eb="6">
      <t>ショルイ</t>
    </rPh>
    <phoneticPr fontId="42"/>
  </si>
  <si>
    <t>相見積一覧（及び見積限定理由書）</t>
    <rPh sb="0" eb="3">
      <t>アイミツ</t>
    </rPh>
    <rPh sb="3" eb="5">
      <t>イチラン</t>
    </rPh>
    <rPh sb="6" eb="7">
      <t>オヨ</t>
    </rPh>
    <rPh sb="8" eb="12">
      <t>ミツモリゲンテイ</t>
    </rPh>
    <rPh sb="12" eb="15">
      <t>リユウショ</t>
    </rPh>
    <phoneticPr fontId="42"/>
  </si>
  <si>
    <t>・見積を１社からしか取らなかった場合は、その理由を「見積限定理由」に記入してください。</t>
    <rPh sb="1" eb="3">
      <t>ミツモ</t>
    </rPh>
    <rPh sb="5" eb="6">
      <t>シャ</t>
    </rPh>
    <rPh sb="10" eb="11">
      <t>ト</t>
    </rPh>
    <rPh sb="16" eb="18">
      <t>バアイ</t>
    </rPh>
    <rPh sb="22" eb="24">
      <t>リユウ</t>
    </rPh>
    <rPh sb="26" eb="30">
      <t>ミツモリゲンテイ</t>
    </rPh>
    <rPh sb="30" eb="32">
      <t>リユウ</t>
    </rPh>
    <rPh sb="34" eb="36">
      <t>キニュウ</t>
    </rPh>
    <phoneticPr fontId="41"/>
  </si>
  <si>
    <t>見積限定理由</t>
    <rPh sb="0" eb="4">
      <t>ミツモリゲンテイ</t>
    </rPh>
    <rPh sb="4" eb="6">
      <t>リユウ</t>
    </rPh>
    <phoneticPr fontId="42"/>
  </si>
  <si>
    <t>２社目</t>
    <rPh sb="1" eb="3">
      <t>シャメ</t>
    </rPh>
    <phoneticPr fontId="42"/>
  </si>
  <si>
    <t>※５つ以上ある場合には、特に本申請に関連のあるもの４つを記載してください。</t>
    <rPh sb="14" eb="17">
      <t>ホンシンセイ</t>
    </rPh>
    <phoneticPr fontId="41"/>
  </si>
  <si>
    <t>取組前</t>
    <rPh sb="0" eb="2">
      <t>トリクミ</t>
    </rPh>
    <rPh sb="2" eb="3">
      <t>マエ</t>
    </rPh>
    <phoneticPr fontId="41"/>
  </si>
  <si>
    <t>取組後</t>
    <rPh sb="0" eb="3">
      <t>トリクミゴ</t>
    </rPh>
    <phoneticPr fontId="41"/>
  </si>
  <si>
    <t>　分析結果の総括</t>
    <rPh sb="1" eb="3">
      <t>ブンセキ</t>
    </rPh>
    <rPh sb="3" eb="5">
      <t>ケッカ</t>
    </rPh>
    <rPh sb="6" eb="8">
      <t>ソウカツ</t>
    </rPh>
    <phoneticPr fontId="42"/>
  </si>
  <si>
    <t>（２）取組の基となる「既存事業」</t>
    <rPh sb="3" eb="5">
      <t>トリクミ</t>
    </rPh>
    <rPh sb="6" eb="7">
      <t>モト</t>
    </rPh>
    <rPh sb="11" eb="13">
      <t>キゾン</t>
    </rPh>
    <rPh sb="13" eb="15">
      <t>ジギョウ</t>
    </rPh>
    <phoneticPr fontId="42"/>
  </si>
  <si>
    <t>（３）取組内容</t>
    <rPh sb="3" eb="5">
      <t>トリクミ</t>
    </rPh>
    <rPh sb="5" eb="7">
      <t>ナイヨウ</t>
    </rPh>
    <phoneticPr fontId="42"/>
  </si>
  <si>
    <t>（４）取組効果　（売上や集客の増加などについて）</t>
    <rPh sb="3" eb="5">
      <t>トリクミ</t>
    </rPh>
    <rPh sb="5" eb="7">
      <t>コウカ</t>
    </rPh>
    <rPh sb="9" eb="11">
      <t>ウリアゲ</t>
    </rPh>
    <rPh sb="12" eb="14">
      <t>シュウキャク</t>
    </rPh>
    <rPh sb="15" eb="17">
      <t>ゾウカ</t>
    </rPh>
    <phoneticPr fontId="42"/>
  </si>
  <si>
    <t>（５）実施体制(文字サイズ9pt以上、下枠内に収まるよう記載)</t>
    <rPh sb="3" eb="5">
      <t>ジッシ</t>
    </rPh>
    <rPh sb="5" eb="7">
      <t>タイセイ</t>
    </rPh>
    <phoneticPr fontId="42"/>
  </si>
  <si>
    <t>様式第１号(第７条関係)</t>
    <phoneticPr fontId="41"/>
  </si>
  <si>
    <t>・１契約100万円以上の項目について、相見積の結果を記入してください。</t>
    <rPh sb="26" eb="28">
      <t>キニュウ</t>
    </rPh>
    <phoneticPr fontId="41"/>
  </si>
  <si>
    <t>　・１契約100万円以上の項目は、相見積の結果を「相見積」シートに記載してください。</t>
    <rPh sb="25" eb="28">
      <t>アイミツモリ</t>
    </rPh>
    <phoneticPr fontId="41"/>
  </si>
  <si>
    <t>・１契約100万円以上の項目は、相見積の結果を「相見積」シートに記載してください。</t>
    <rPh sb="24" eb="27">
      <t>アイミツモリ</t>
    </rPh>
    <phoneticPr fontId="41"/>
  </si>
  <si>
    <t>・調達方法で「購入」を選択した、１契約100万円以上（税抜）の項目について記載してください。</t>
    <rPh sb="31" eb="33">
      <t>コウモク</t>
    </rPh>
    <phoneticPr fontId="41"/>
  </si>
  <si>
    <t>（２０文字程度で自由記載）</t>
    <rPh sb="3" eb="5">
      <t>モジ</t>
    </rPh>
    <rPh sb="5" eb="7">
      <t>テイド</t>
    </rPh>
    <rPh sb="8" eb="12">
      <t>ジユウキサイ</t>
    </rPh>
    <phoneticPr fontId="41"/>
  </si>
  <si>
    <t>〒　　　－　　　　</t>
    <phoneticPr fontId="41"/>
  </si>
  <si>
    <r>
      <t xml:space="preserve">主たる業種
</t>
    </r>
    <r>
      <rPr>
        <sz val="10"/>
        <rFont val="游ゴシック"/>
        <family val="3"/>
        <charset val="128"/>
        <scheme val="minor"/>
      </rPr>
      <t>※売上高構成比が最も高い事業の業種をご選択ください。</t>
    </r>
    <rPh sb="0" eb="1">
      <t>オモ</t>
    </rPh>
    <rPh sb="3" eb="5">
      <t>ギョウシュ</t>
    </rPh>
    <rPh sb="25" eb="27">
      <t>センタク</t>
    </rPh>
    <phoneticPr fontId="42"/>
  </si>
  <si>
    <t>品名</t>
  </si>
  <si>
    <t>品名</t>
    <rPh sb="0" eb="2">
      <t>ヒンメイ</t>
    </rPh>
    <phoneticPr fontId="54"/>
  </si>
  <si>
    <t>購入先企業名</t>
    <rPh sb="0" eb="3">
      <t>コウニュウサキ</t>
    </rPh>
    <rPh sb="3" eb="6">
      <t>キギョウメイ</t>
    </rPh>
    <phoneticPr fontId="54"/>
  </si>
  <si>
    <t>規格（メーカー・型番等）</t>
    <rPh sb="0" eb="2">
      <t>キカク</t>
    </rPh>
    <rPh sb="8" eb="10">
      <t>カタバン</t>
    </rPh>
    <rPh sb="10" eb="11">
      <t>ナド</t>
    </rPh>
    <phoneticPr fontId="54"/>
  </si>
  <si>
    <t>支出番号</t>
    <rPh sb="0" eb="2">
      <t>シシュツ</t>
    </rPh>
    <rPh sb="2" eb="4">
      <t>バンゴウ</t>
    </rPh>
    <phoneticPr fontId="54"/>
  </si>
  <si>
    <t>委託・外注先</t>
    <rPh sb="0" eb="2">
      <t>イタク</t>
    </rPh>
    <rPh sb="3" eb="6">
      <t>ガイチュウサキ</t>
    </rPh>
    <phoneticPr fontId="42"/>
  </si>
  <si>
    <t>委託・外注先
技術指導者</t>
    <rPh sb="0" eb="2">
      <t>イタク</t>
    </rPh>
    <rPh sb="3" eb="5">
      <t>ガイチュウ</t>
    </rPh>
    <rPh sb="5" eb="6">
      <t>サキ</t>
    </rPh>
    <rPh sb="7" eb="9">
      <t>ギジュツ</t>
    </rPh>
    <rPh sb="9" eb="12">
      <t>シドウシャ</t>
    </rPh>
    <phoneticPr fontId="41"/>
  </si>
  <si>
    <t>委託・外注又は指導等の詳細</t>
    <rPh sb="0" eb="2">
      <t>イタク</t>
    </rPh>
    <rPh sb="3" eb="5">
      <t>ガイチュウ</t>
    </rPh>
    <rPh sb="5" eb="6">
      <t>マタ</t>
    </rPh>
    <rPh sb="7" eb="10">
      <t>シドウトウ</t>
    </rPh>
    <rPh sb="11" eb="13">
      <t>ショウサイ</t>
    </rPh>
    <phoneticPr fontId="54"/>
  </si>
  <si>
    <t>(取組に必要な理由)</t>
  </si>
  <si>
    <t>専門家名</t>
    <rPh sb="0" eb="1">
      <t>セン</t>
    </rPh>
    <rPh sb="1" eb="2">
      <t>モン</t>
    </rPh>
    <rPh sb="2" eb="3">
      <t>イエ</t>
    </rPh>
    <rPh sb="3" eb="4">
      <t>メイ</t>
    </rPh>
    <phoneticPr fontId="50"/>
  </si>
  <si>
    <t>延床面積(㎡)</t>
    <rPh sb="0" eb="1">
      <t>ノ</t>
    </rPh>
    <rPh sb="1" eb="2">
      <t>ユカ</t>
    </rPh>
    <rPh sb="2" eb="4">
      <t>メンセキ</t>
    </rPh>
    <phoneticPr fontId="41"/>
  </si>
  <si>
    <t>契約予定先</t>
    <rPh sb="0" eb="2">
      <t>ケイヤク</t>
    </rPh>
    <rPh sb="2" eb="5">
      <t>ヨテイサキ</t>
    </rPh>
    <phoneticPr fontId="41"/>
  </si>
  <si>
    <t>展示会名</t>
    <rPh sb="0" eb="4">
      <t>テンジカイメイ</t>
    </rPh>
    <phoneticPr fontId="54"/>
  </si>
  <si>
    <t>主催(契約先)</t>
    <rPh sb="0" eb="2">
      <t>シュサイ</t>
    </rPh>
    <rPh sb="3" eb="5">
      <t>ケイヤク</t>
    </rPh>
    <rPh sb="5" eb="6">
      <t>サキ</t>
    </rPh>
    <phoneticPr fontId="54"/>
  </si>
  <si>
    <t>会期</t>
    <rPh sb="0" eb="2">
      <t>カイキ</t>
    </rPh>
    <phoneticPr fontId="54"/>
  </si>
  <si>
    <t>会場</t>
    <rPh sb="0" eb="2">
      <t>カイジョウ</t>
    </rPh>
    <phoneticPr fontId="54"/>
  </si>
  <si>
    <t>ECモール名</t>
    <rPh sb="5" eb="6">
      <t>メイ</t>
    </rPh>
    <phoneticPr fontId="54"/>
  </si>
  <si>
    <t>契約先</t>
    <rPh sb="0" eb="2">
      <t>ケイヤク</t>
    </rPh>
    <rPh sb="2" eb="3">
      <t>サキ</t>
    </rPh>
    <phoneticPr fontId="54"/>
  </si>
  <si>
    <r>
      <t>（３）</t>
    </r>
    <r>
      <rPr>
        <sz val="10"/>
        <color theme="1"/>
        <rFont val="游ゴシック"/>
        <family val="3"/>
        <charset val="128"/>
        <scheme val="minor"/>
      </rPr>
      <t>今回の取組において、他社が保有する産業財産権の実施許諾を受ける予定か</t>
    </r>
    <rPh sb="3" eb="5">
      <t>コンカイ</t>
    </rPh>
    <rPh sb="6" eb="8">
      <t>トリクミ</t>
    </rPh>
    <rPh sb="13" eb="15">
      <t>タシャ</t>
    </rPh>
    <rPh sb="16" eb="18">
      <t>ホユウ</t>
    </rPh>
    <rPh sb="20" eb="25">
      <t>サンギョウザイサンケン</t>
    </rPh>
    <rPh sb="26" eb="28">
      <t>ジッシ</t>
    </rPh>
    <rPh sb="28" eb="30">
      <t>キョダク</t>
    </rPh>
    <rPh sb="31" eb="32">
      <t>ウ</t>
    </rPh>
    <rPh sb="34" eb="36">
      <t>ヨテイ</t>
    </rPh>
    <phoneticPr fontId="41"/>
  </si>
  <si>
    <t>直近年間取引高</t>
    <rPh sb="0" eb="2">
      <t>チョッキン</t>
    </rPh>
    <rPh sb="2" eb="4">
      <t>ネンカン</t>
    </rPh>
    <rPh sb="4" eb="6">
      <t>トリヒキ</t>
    </rPh>
    <rPh sb="6" eb="7">
      <t>ダカ</t>
    </rPh>
    <phoneticPr fontId="42"/>
  </si>
  <si>
    <t>円</t>
    <rPh sb="0" eb="1">
      <t>エン</t>
    </rPh>
    <phoneticPr fontId="42"/>
  </si>
  <si>
    <t>千円</t>
    <rPh sb="0" eb="2">
      <t>センエン</t>
    </rPh>
    <phoneticPr fontId="41"/>
  </si>
  <si>
    <t>年　月　日</t>
    <rPh sb="0" eb="1">
      <t>ネン</t>
    </rPh>
    <rPh sb="2" eb="3">
      <t>ツキ</t>
    </rPh>
    <rPh sb="4" eb="5">
      <t>ヒ</t>
    </rPh>
    <phoneticPr fontId="41"/>
  </si>
  <si>
    <r>
      <t xml:space="preserve">事業担当者
</t>
    </r>
    <r>
      <rPr>
        <sz val="8.5"/>
        <color theme="1"/>
        <rFont val="游ゴシック"/>
        <family val="3"/>
        <charset val="128"/>
        <scheme val="minor"/>
      </rPr>
      <t>※店舗従業者が代表と異なる場合のみ</t>
    </r>
    <rPh sb="0" eb="5">
      <t>ジギョウタントウシャ</t>
    </rPh>
    <phoneticPr fontId="42"/>
  </si>
  <si>
    <t>選択してください</t>
    <rPh sb="0" eb="2">
      <t>センタク</t>
    </rPh>
    <phoneticPr fontId="41"/>
  </si>
  <si>
    <t>購入予定時期</t>
    <rPh sb="0" eb="6">
      <t>コウニュウヨテイジキ</t>
    </rPh>
    <phoneticPr fontId="42"/>
  </si>
  <si>
    <t>令和　　　年　　　月</t>
    <rPh sb="0" eb="2">
      <t>レイワ</t>
    </rPh>
    <rPh sb="5" eb="6">
      <t>ネン</t>
    </rPh>
    <rPh sb="9" eb="10">
      <t>ガツ</t>
    </rPh>
    <phoneticPr fontId="42"/>
  </si>
  <si>
    <t>令和　　　年　　　月　　　日　　　～　　　令和　　　年　　　月　　　日</t>
    <rPh sb="0" eb="2">
      <t>レイワ</t>
    </rPh>
    <rPh sb="5" eb="6">
      <t>ネン</t>
    </rPh>
    <rPh sb="9" eb="10">
      <t>ガツ</t>
    </rPh>
    <rPh sb="13" eb="14">
      <t>ニチ</t>
    </rPh>
    <rPh sb="21" eb="23">
      <t>レイワ</t>
    </rPh>
    <rPh sb="26" eb="27">
      <t>ネン</t>
    </rPh>
    <rPh sb="30" eb="31">
      <t>ガツ</t>
    </rPh>
    <rPh sb="34" eb="35">
      <t>ニチ</t>
    </rPh>
    <phoneticPr fontId="42"/>
  </si>
  <si>
    <t>PR内容(商品名)</t>
    <rPh sb="2" eb="4">
      <t>ナイヨウ</t>
    </rPh>
    <rPh sb="5" eb="8">
      <t>ショウヒンメイ</t>
    </rPh>
    <phoneticPr fontId="54"/>
  </si>
  <si>
    <t>出店予定時期</t>
    <rPh sb="0" eb="2">
      <t>シュッテン</t>
    </rPh>
    <rPh sb="2" eb="4">
      <t>ヨテイ</t>
    </rPh>
    <rPh sb="4" eb="6">
      <t>ジキ</t>
    </rPh>
    <phoneticPr fontId="54"/>
  </si>
  <si>
    <t>出店内容(商品名)</t>
    <rPh sb="0" eb="2">
      <t>シュッテン</t>
    </rPh>
    <rPh sb="2" eb="4">
      <t>ナイヨウ</t>
    </rPh>
    <rPh sb="5" eb="8">
      <t>ショウヒンメイ</t>
    </rPh>
    <phoneticPr fontId="54"/>
  </si>
  <si>
    <t>契約予定期間</t>
    <rPh sb="0" eb="2">
      <t>ケイヤク</t>
    </rPh>
    <rPh sb="2" eb="4">
      <t>ヨテイ</t>
    </rPh>
    <rPh sb="4" eb="6">
      <t>キカン</t>
    </rPh>
    <phoneticPr fontId="41"/>
  </si>
  <si>
    <t>本申請と、経費または内容の重複が「有」の補助金・助成金</t>
    <rPh sb="0" eb="3">
      <t>ホンシンセイ</t>
    </rPh>
    <rPh sb="5" eb="7">
      <t>ケイヒ</t>
    </rPh>
    <rPh sb="10" eb="12">
      <t>ナイヨウ</t>
    </rPh>
    <rPh sb="13" eb="15">
      <t>チョウフク</t>
    </rPh>
    <rPh sb="17" eb="18">
      <t>アリ</t>
    </rPh>
    <rPh sb="20" eb="23">
      <t>ホジョキン</t>
    </rPh>
    <rPh sb="26" eb="27">
      <t>キン</t>
    </rPh>
    <phoneticPr fontId="41"/>
  </si>
  <si>
    <t>【原材料・副資材費】</t>
    <rPh sb="1" eb="4">
      <t>ゲンザイリョウ</t>
    </rPh>
    <rPh sb="5" eb="9">
      <t>フクシザイヒ</t>
    </rPh>
    <phoneticPr fontId="44"/>
  </si>
  <si>
    <t>【機械装置・工具器具費】</t>
    <rPh sb="1" eb="3">
      <t>キカイ</t>
    </rPh>
    <rPh sb="3" eb="5">
      <t>ソウチ</t>
    </rPh>
    <rPh sb="6" eb="8">
      <t>コウグ</t>
    </rPh>
    <rPh sb="8" eb="10">
      <t>キグ</t>
    </rPh>
    <rPh sb="10" eb="11">
      <t>ヒ</t>
    </rPh>
    <phoneticPr fontId="54"/>
  </si>
  <si>
    <t>【委託・外注費】</t>
    <phoneticPr fontId="41"/>
  </si>
  <si>
    <t>【産業財産権出願・導入費】</t>
    <rPh sb="1" eb="3">
      <t>サンギョウ</t>
    </rPh>
    <rPh sb="3" eb="6">
      <t>ザイサンケン</t>
    </rPh>
    <rPh sb="6" eb="8">
      <t>シュツガン</t>
    </rPh>
    <rPh sb="9" eb="11">
      <t>ドウニュウ</t>
    </rPh>
    <rPh sb="11" eb="12">
      <t>ヒ</t>
    </rPh>
    <phoneticPr fontId="54"/>
  </si>
  <si>
    <t>【規格等認証・登録費】</t>
    <rPh sb="1" eb="3">
      <t>キカク</t>
    </rPh>
    <rPh sb="3" eb="4">
      <t>トウ</t>
    </rPh>
    <rPh sb="4" eb="6">
      <t>ニンショウ</t>
    </rPh>
    <rPh sb="7" eb="10">
      <t>トウロクヒ</t>
    </rPh>
    <phoneticPr fontId="42"/>
  </si>
  <si>
    <t>【設備等導入費】</t>
    <rPh sb="1" eb="3">
      <t>セツビ</t>
    </rPh>
    <rPh sb="3" eb="4">
      <t>トウ</t>
    </rPh>
    <rPh sb="4" eb="6">
      <t>ドウニュウ</t>
    </rPh>
    <rPh sb="6" eb="7">
      <t>ヒ</t>
    </rPh>
    <phoneticPr fontId="54"/>
  </si>
  <si>
    <t>【システム等導入費】</t>
    <rPh sb="5" eb="6">
      <t>ナド</t>
    </rPh>
    <rPh sb="6" eb="8">
      <t>ドウニュウ</t>
    </rPh>
    <rPh sb="8" eb="9">
      <t>ヒ</t>
    </rPh>
    <phoneticPr fontId="54"/>
  </si>
  <si>
    <t>【専門家指導費】</t>
    <rPh sb="1" eb="4">
      <t>センモンカ</t>
    </rPh>
    <rPh sb="4" eb="6">
      <t>シドウ</t>
    </rPh>
    <rPh sb="6" eb="7">
      <t>ヒ</t>
    </rPh>
    <phoneticPr fontId="50"/>
  </si>
  <si>
    <t>【不動産賃借料】</t>
    <rPh sb="1" eb="4">
      <t>フドウサン</t>
    </rPh>
    <rPh sb="4" eb="6">
      <t>チンシャク</t>
    </rPh>
    <rPh sb="6" eb="7">
      <t>リョウ</t>
    </rPh>
    <phoneticPr fontId="48"/>
  </si>
  <si>
    <t>【販売促進費】</t>
    <rPh sb="1" eb="5">
      <t>ハンバイソクシン</t>
    </rPh>
    <rPh sb="5" eb="6">
      <t>ヒ</t>
    </rPh>
    <phoneticPr fontId="42"/>
  </si>
  <si>
    <t>【その他経費】</t>
    <rPh sb="3" eb="4">
      <t>タ</t>
    </rPh>
    <rPh sb="4" eb="6">
      <t>ケイヒ</t>
    </rPh>
    <phoneticPr fontId="42"/>
  </si>
  <si>
    <t>本店所在地</t>
    <rPh sb="0" eb="2">
      <t>ホンテン</t>
    </rPh>
    <rPh sb="2" eb="5">
      <t>ショザイチ</t>
    </rPh>
    <phoneticPr fontId="40"/>
  </si>
  <si>
    <t>本店所在地</t>
    <rPh sb="0" eb="2">
      <t>ホンテン</t>
    </rPh>
    <rPh sb="2" eb="5">
      <t>ショザイチ</t>
    </rPh>
    <phoneticPr fontId="42"/>
  </si>
  <si>
    <t>要件ｂ</t>
    <rPh sb="0" eb="2">
      <t>ヨウケン</t>
    </rPh>
    <phoneticPr fontId="41"/>
  </si>
  <si>
    <t>（１）事業スケジュール（実施時期も含めてご説明願います）</t>
    <rPh sb="3" eb="5">
      <t>ジギョウ</t>
    </rPh>
    <rPh sb="12" eb="14">
      <t>ジッシ</t>
    </rPh>
    <rPh sb="14" eb="16">
      <t>ジキ</t>
    </rPh>
    <rPh sb="17" eb="18">
      <t>フク</t>
    </rPh>
    <rPh sb="21" eb="23">
      <t>セツメイ</t>
    </rPh>
    <rPh sb="23" eb="24">
      <t>ネガ</t>
    </rPh>
    <phoneticPr fontId="41"/>
  </si>
  <si>
    <t>（２）事業スケジュールに沿った作業項目</t>
    <rPh sb="3" eb="5">
      <t>ジギョウ</t>
    </rPh>
    <rPh sb="12" eb="13">
      <t>ソ</t>
    </rPh>
    <rPh sb="15" eb="17">
      <t>サギョウ</t>
    </rPh>
    <rPh sb="17" eb="19">
      <t>コウモク</t>
    </rPh>
    <phoneticPr fontId="41"/>
  </si>
  <si>
    <t>見積金額（単位：円）</t>
    <rPh sb="0" eb="2">
      <t>ミツモリ</t>
    </rPh>
    <rPh sb="2" eb="4">
      <t>キンガク</t>
    </rPh>
    <phoneticPr fontId="42"/>
  </si>
  <si>
    <t>16化学工業</t>
  </si>
  <si>
    <t>84保健衛生</t>
  </si>
  <si>
    <t>３．役員・株主名簿＜法人＞</t>
    <rPh sb="2" eb="4">
      <t>ヤクイン</t>
    </rPh>
    <rPh sb="5" eb="9">
      <t>カブヌシメイボ</t>
    </rPh>
    <rPh sb="10" eb="12">
      <t>ホウジン</t>
    </rPh>
    <phoneticPr fontId="42"/>
  </si>
  <si>
    <t>４．補助金・助成金申請状況</t>
    <rPh sb="2" eb="5">
      <t>ホジョキン</t>
    </rPh>
    <rPh sb="6" eb="9">
      <t>ジョセイキン</t>
    </rPh>
    <rPh sb="9" eb="13">
      <t>シンセイジョウキョウ</t>
    </rPh>
    <phoneticPr fontId="42"/>
  </si>
  <si>
    <t>５．決算状況（要件確認）</t>
    <rPh sb="2" eb="6">
      <t>ケッサンジョウキョウ</t>
    </rPh>
    <rPh sb="7" eb="9">
      <t>ヨウケン</t>
    </rPh>
    <rPh sb="9" eb="11">
      <t>カクニン</t>
    </rPh>
    <phoneticPr fontId="42"/>
  </si>
  <si>
    <t>18プラスチック製品製造業（別掲を除く）</t>
  </si>
  <si>
    <t>87協同組合（他に分類されないもの）</t>
  </si>
  <si>
    <t>88廃棄物処理業</t>
  </si>
  <si>
    <t>20なめし革・同製品・毛皮製造業</t>
  </si>
  <si>
    <t>89自動車整備業</t>
  </si>
  <si>
    <t>21窯業・土石製品製造業</t>
  </si>
  <si>
    <t>90機械等修理業（別掲を除く）</t>
  </si>
  <si>
    <t>23非鉄金属製造業</t>
  </si>
  <si>
    <t>92その他の事業サービス業</t>
  </si>
  <si>
    <t>24金属製品製造業</t>
  </si>
  <si>
    <t>93政治・経済・文化団体</t>
  </si>
  <si>
    <t>25はん用機械器具製造業</t>
  </si>
  <si>
    <t>94宗教</t>
  </si>
  <si>
    <t>26生産用機械器具製造業</t>
  </si>
  <si>
    <t>95その他のサービス業</t>
  </si>
  <si>
    <t>27業務用機械器具製造業</t>
  </si>
  <si>
    <t>96外国公務</t>
  </si>
  <si>
    <t>28電子部品・デバイス・電子回路製造業</t>
  </si>
  <si>
    <t>29電気機械器具製造業</t>
  </si>
  <si>
    <t>30情報通信機械器具製造業</t>
  </si>
  <si>
    <t>NO.</t>
    <phoneticPr fontId="42"/>
  </si>
  <si>
    <t>役員</t>
    <rPh sb="0" eb="2">
      <t>ヤクイン</t>
    </rPh>
    <phoneticPr fontId="42"/>
  </si>
  <si>
    <t>株主</t>
    <rPh sb="0" eb="2">
      <t>カブヌシ</t>
    </rPh>
    <phoneticPr fontId="42"/>
  </si>
  <si>
    <t>役職等</t>
    <rPh sb="0" eb="3">
      <t>ヤクショクナド</t>
    </rPh>
    <phoneticPr fontId="42"/>
  </si>
  <si>
    <t>持ち株数</t>
    <rPh sb="0" eb="1">
      <t>モ</t>
    </rPh>
    <rPh sb="2" eb="4">
      <t>カブスウ</t>
    </rPh>
    <phoneticPr fontId="42"/>
  </si>
  <si>
    <t>持ち株比率</t>
    <rPh sb="0" eb="1">
      <t>モ</t>
    </rPh>
    <rPh sb="2" eb="5">
      <t>カブヒリツ</t>
    </rPh>
    <phoneticPr fontId="42"/>
  </si>
  <si>
    <t>－</t>
    <phoneticPr fontId="42"/>
  </si>
  <si>
    <t>その他の株主</t>
    <rPh sb="2" eb="3">
      <t>タ</t>
    </rPh>
    <rPh sb="4" eb="6">
      <t>カブヌシ</t>
    </rPh>
    <phoneticPr fontId="42"/>
  </si>
  <si>
    <t>役員・株主名簿が「履歴事項全部証明書」「確定申告書別表2」と異なる場合の理由について</t>
    <rPh sb="0" eb="2">
      <t>ヤクイン</t>
    </rPh>
    <rPh sb="3" eb="7">
      <t>カブヌシメイボ</t>
    </rPh>
    <rPh sb="9" eb="13">
      <t>リレキジコウ</t>
    </rPh>
    <rPh sb="13" eb="18">
      <t>ゼンブショウメイショ</t>
    </rPh>
    <rPh sb="20" eb="22">
      <t>カクテイ</t>
    </rPh>
    <rPh sb="22" eb="25">
      <t>シンコクショ</t>
    </rPh>
    <rPh sb="25" eb="27">
      <t>ベッピョウ</t>
    </rPh>
    <rPh sb="30" eb="31">
      <t>コト</t>
    </rPh>
    <rPh sb="33" eb="35">
      <t>バアイ</t>
    </rPh>
    <rPh sb="36" eb="38">
      <t>リユウ</t>
    </rPh>
    <phoneticPr fontId="42"/>
  </si>
  <si>
    <t>　履歴事項全部証明書に記入されている全役員及び持株比率が７０％を超えるまでの全ての株主を持ち株比率が多い順に記入してください。「役員」「株主」欄はそれぞれ該当するものに「〇」を、「役職等」欄には役員の「役職」を、役員以外の方は「申請者との関係又は職業」を記載してください。
　※合同会社の方は「株主」「持ち株数」「持ち株比率」については記入不要です。</t>
    <rPh sb="11" eb="13">
      <t>キニュウ</t>
    </rPh>
    <rPh sb="19" eb="21">
      <t>ヤクイン</t>
    </rPh>
    <rPh sb="21" eb="22">
      <t>オヨ</t>
    </rPh>
    <rPh sb="23" eb="24">
      <t>モ</t>
    </rPh>
    <rPh sb="24" eb="25">
      <t>カブ</t>
    </rPh>
    <rPh sb="25" eb="27">
      <t>ヒリツ</t>
    </rPh>
    <rPh sb="32" eb="33">
      <t>コ</t>
    </rPh>
    <rPh sb="38" eb="39">
      <t>スベ</t>
    </rPh>
    <rPh sb="41" eb="43">
      <t>カブヌシ</t>
    </rPh>
    <rPh sb="44" eb="45">
      <t>モ</t>
    </rPh>
    <rPh sb="46" eb="47">
      <t>カブ</t>
    </rPh>
    <rPh sb="47" eb="49">
      <t>ヒリツ</t>
    </rPh>
    <rPh sb="50" eb="51">
      <t>オオ</t>
    </rPh>
    <rPh sb="52" eb="53">
      <t>ジュン</t>
    </rPh>
    <rPh sb="54" eb="56">
      <t>キニュウ</t>
    </rPh>
    <rPh sb="64" eb="66">
      <t>ヤクイン</t>
    </rPh>
    <rPh sb="68" eb="70">
      <t>カブヌシ</t>
    </rPh>
    <rPh sb="71" eb="72">
      <t>ラン</t>
    </rPh>
    <rPh sb="77" eb="79">
      <t>ガイトウ</t>
    </rPh>
    <rPh sb="90" eb="92">
      <t>ヤクショク</t>
    </rPh>
    <rPh sb="92" eb="93">
      <t>トウ</t>
    </rPh>
    <rPh sb="94" eb="95">
      <t>ラン</t>
    </rPh>
    <rPh sb="97" eb="99">
      <t>ヤクイン</t>
    </rPh>
    <rPh sb="101" eb="103">
      <t>ヤクショク</t>
    </rPh>
    <rPh sb="106" eb="108">
      <t>ヤクイン</t>
    </rPh>
    <rPh sb="108" eb="110">
      <t>イガイ</t>
    </rPh>
    <rPh sb="111" eb="112">
      <t>カタ</t>
    </rPh>
    <rPh sb="114" eb="117">
      <t>シンセイシャ</t>
    </rPh>
    <rPh sb="119" eb="121">
      <t>カンケイ</t>
    </rPh>
    <rPh sb="121" eb="122">
      <t>マタ</t>
    </rPh>
    <rPh sb="123" eb="125">
      <t>ショクギョウ</t>
    </rPh>
    <rPh sb="127" eb="129">
      <t>キサイ</t>
    </rPh>
    <rPh sb="139" eb="141">
      <t>ゴウドウ</t>
    </rPh>
    <rPh sb="141" eb="143">
      <t>カイシャ</t>
    </rPh>
    <rPh sb="144" eb="145">
      <t>カタ</t>
    </rPh>
    <rPh sb="147" eb="149">
      <t>カブヌシ</t>
    </rPh>
    <rPh sb="151" eb="152">
      <t>モ</t>
    </rPh>
    <rPh sb="153" eb="154">
      <t>カブ</t>
    </rPh>
    <rPh sb="154" eb="155">
      <t>スウ</t>
    </rPh>
    <rPh sb="157" eb="158">
      <t>モ</t>
    </rPh>
    <rPh sb="159" eb="160">
      <t>カブ</t>
    </rPh>
    <rPh sb="160" eb="162">
      <t>ヒリツ</t>
    </rPh>
    <rPh sb="168" eb="170">
      <t>キニュウ</t>
    </rPh>
    <rPh sb="170" eb="172">
      <t>フヨウ</t>
    </rPh>
    <phoneticPr fontId="74"/>
  </si>
  <si>
    <t>設置場所（所在地）</t>
    <rPh sb="5" eb="8">
      <t>ショザイチ</t>
    </rPh>
    <phoneticPr fontId="41"/>
  </si>
  <si>
    <t>（１社からのみ見積を取った場合に、その理由を記入）</t>
    <rPh sb="2" eb="3">
      <t>シャ</t>
    </rPh>
    <rPh sb="7" eb="9">
      <t>ミツモ</t>
    </rPh>
    <rPh sb="10" eb="11">
      <t>ト</t>
    </rPh>
    <rPh sb="13" eb="15">
      <t>バアイ</t>
    </rPh>
    <rPh sb="19" eb="21">
      <t>リユウ</t>
    </rPh>
    <rPh sb="22" eb="24">
      <t>キニュウ</t>
    </rPh>
    <phoneticPr fontId="42"/>
  </si>
  <si>
    <t>１社目</t>
    <rPh sb="1" eb="2">
      <t>シャ</t>
    </rPh>
    <rPh sb="2" eb="3">
      <t>メ</t>
    </rPh>
    <phoneticPr fontId="42"/>
  </si>
  <si>
    <t>＜システム等導入計画書＞</t>
    <rPh sb="5" eb="6">
      <t>ナド</t>
    </rPh>
    <rPh sb="6" eb="8">
      <t>ドウニュウ</t>
    </rPh>
    <rPh sb="8" eb="11">
      <t>ケイカクショ</t>
    </rPh>
    <phoneticPr fontId="54"/>
  </si>
  <si>
    <t>依頼内容</t>
    <rPh sb="0" eb="2">
      <t>イライ</t>
    </rPh>
    <rPh sb="2" eb="4">
      <t>ナイヨウ</t>
    </rPh>
    <phoneticPr fontId="54"/>
  </si>
  <si>
    <t>契約先企業名</t>
    <rPh sb="0" eb="2">
      <t>ケイヤク</t>
    </rPh>
    <rPh sb="2" eb="3">
      <t>サキ</t>
    </rPh>
    <rPh sb="3" eb="6">
      <t>キギョウメイ</t>
    </rPh>
    <phoneticPr fontId="54"/>
  </si>
  <si>
    <t>選定理由</t>
    <rPh sb="0" eb="4">
      <t>センテイリユウ</t>
    </rPh>
    <phoneticPr fontId="54"/>
  </si>
  <si>
    <t>事業形態</t>
    <rPh sb="0" eb="2">
      <t>ジギョウ</t>
    </rPh>
    <rPh sb="2" eb="4">
      <t>ケイタイ</t>
    </rPh>
    <phoneticPr fontId="50"/>
  </si>
  <si>
    <t>申請者区分</t>
    <rPh sb="0" eb="3">
      <t>シンセイシャ</t>
    </rPh>
    <rPh sb="3" eb="5">
      <t>クブン</t>
    </rPh>
    <phoneticPr fontId="40"/>
  </si>
  <si>
    <t>Ⅲ 　資金計画</t>
    <phoneticPr fontId="41"/>
  </si>
  <si>
    <t>１．スケジュール（工程）</t>
    <rPh sb="9" eb="11">
      <t>コウテイ</t>
    </rPh>
    <phoneticPr fontId="41"/>
  </si>
  <si>
    <t>２．資金支出明細</t>
    <rPh sb="2" eb="8">
      <t>シキンシシュツメイサイ</t>
    </rPh>
    <phoneticPr fontId="44"/>
  </si>
  <si>
    <t>３．当事業の資金計画</t>
    <rPh sb="2" eb="3">
      <t>トウ</t>
    </rPh>
    <rPh sb="3" eb="5">
      <t>ジギョウ</t>
    </rPh>
    <rPh sb="6" eb="8">
      <t>シキン</t>
    </rPh>
    <rPh sb="8" eb="10">
      <t>ケイカク</t>
    </rPh>
    <phoneticPr fontId="54"/>
  </si>
  <si>
    <t>助成率</t>
    <rPh sb="0" eb="3">
      <t>ジョセイリツ</t>
    </rPh>
    <phoneticPr fontId="41"/>
  </si>
  <si>
    <t>申請者区分</t>
    <rPh sb="0" eb="3">
      <t>シンセイシャ</t>
    </rPh>
    <rPh sb="3" eb="5">
      <t>クブン</t>
    </rPh>
    <phoneticPr fontId="41"/>
  </si>
  <si>
    <t>B: 賃金引上げ計画を掲げる中小企業者</t>
    <phoneticPr fontId="41"/>
  </si>
  <si>
    <t>　・１契約30万円以上の項目は、見積書・カタログ等の提出が必要です。</t>
    <rPh sb="16" eb="19">
      <t>ミツモリショ</t>
    </rPh>
    <rPh sb="24" eb="25">
      <t>トウ</t>
    </rPh>
    <rPh sb="26" eb="28">
      <t>テイシュツ</t>
    </rPh>
    <rPh sb="29" eb="31">
      <t>ヒツヨウ</t>
    </rPh>
    <phoneticPr fontId="41"/>
  </si>
  <si>
    <t>・１契約30万円以上の項目は、見積書・カタログ等の提出が必要です。</t>
    <rPh sb="15" eb="18">
      <t>ミツモリショ</t>
    </rPh>
    <rPh sb="23" eb="24">
      <t>トウ</t>
    </rPh>
    <rPh sb="25" eb="27">
      <t>テイシュツ</t>
    </rPh>
    <rPh sb="28" eb="30">
      <t>ヒツヨウ</t>
    </rPh>
    <phoneticPr fontId="41"/>
  </si>
  <si>
    <t>・計上した全ての契約先について記載してください。</t>
    <rPh sb="8" eb="11">
      <t>ケイヤクサキ</t>
    </rPh>
    <phoneticPr fontId="41"/>
  </si>
  <si>
    <t>2024年1月期</t>
    <rPh sb="4" eb="5">
      <t>ネン</t>
    </rPh>
    <rPh sb="6" eb="8">
      <t>ガツキ</t>
    </rPh>
    <phoneticPr fontId="41"/>
  </si>
  <si>
    <t>2024年2月期</t>
    <rPh sb="4" eb="5">
      <t>ネン</t>
    </rPh>
    <rPh sb="6" eb="8">
      <t>ガツキ</t>
    </rPh>
    <phoneticPr fontId="41"/>
  </si>
  <si>
    <t>2024年3月期</t>
    <rPh sb="4" eb="5">
      <t>ネン</t>
    </rPh>
    <rPh sb="6" eb="8">
      <t>ガツキ</t>
    </rPh>
    <phoneticPr fontId="41"/>
  </si>
  <si>
    <t>2024年4月期</t>
    <rPh sb="4" eb="5">
      <t>ネン</t>
    </rPh>
    <rPh sb="6" eb="8">
      <t>ガツキ</t>
    </rPh>
    <phoneticPr fontId="41"/>
  </si>
  <si>
    <t>2024年5月期</t>
    <rPh sb="4" eb="5">
      <t>ネン</t>
    </rPh>
    <rPh sb="6" eb="8">
      <t>ガツキ</t>
    </rPh>
    <phoneticPr fontId="41"/>
  </si>
  <si>
    <t>2024年6月期</t>
    <rPh sb="4" eb="5">
      <t>ネン</t>
    </rPh>
    <rPh sb="6" eb="8">
      <t>ガツキ</t>
    </rPh>
    <phoneticPr fontId="41"/>
  </si>
  <si>
    <t>2024年7月期</t>
    <rPh sb="4" eb="5">
      <t>ネン</t>
    </rPh>
    <rPh sb="6" eb="8">
      <t>ガツキ</t>
    </rPh>
    <phoneticPr fontId="41"/>
  </si>
  <si>
    <t>2024年8月期</t>
    <rPh sb="4" eb="5">
      <t>ネン</t>
    </rPh>
    <rPh sb="6" eb="8">
      <t>ガツキ</t>
    </rPh>
    <phoneticPr fontId="41"/>
  </si>
  <si>
    <t>2024年9月期</t>
    <rPh sb="4" eb="5">
      <t>ネン</t>
    </rPh>
    <rPh sb="6" eb="8">
      <t>ガツキ</t>
    </rPh>
    <phoneticPr fontId="41"/>
  </si>
  <si>
    <t>2024年10月期</t>
    <rPh sb="4" eb="5">
      <t>ネン</t>
    </rPh>
    <rPh sb="7" eb="9">
      <t>ガツキ</t>
    </rPh>
    <phoneticPr fontId="41"/>
  </si>
  <si>
    <t>2024年11月期</t>
    <rPh sb="4" eb="5">
      <t>ネン</t>
    </rPh>
    <rPh sb="7" eb="9">
      <t>ガツキ</t>
    </rPh>
    <phoneticPr fontId="41"/>
  </si>
  <si>
    <t>2024年12月期</t>
    <rPh sb="4" eb="5">
      <t>ネン</t>
    </rPh>
    <rPh sb="7" eb="9">
      <t>ガツキ</t>
    </rPh>
    <phoneticPr fontId="41"/>
  </si>
  <si>
    <t>2025年1月期</t>
    <rPh sb="4" eb="5">
      <t>ネン</t>
    </rPh>
    <rPh sb="6" eb="8">
      <t>ガツキ</t>
    </rPh>
    <phoneticPr fontId="41"/>
  </si>
  <si>
    <t>2025年2月期</t>
    <rPh sb="4" eb="5">
      <t>ネン</t>
    </rPh>
    <rPh sb="6" eb="8">
      <t>ガツキ</t>
    </rPh>
    <phoneticPr fontId="41"/>
  </si>
  <si>
    <t>2025年3月期</t>
    <rPh sb="4" eb="5">
      <t>ネン</t>
    </rPh>
    <rPh sb="6" eb="8">
      <t>ガツキ</t>
    </rPh>
    <phoneticPr fontId="41"/>
  </si>
  <si>
    <t>2025年4月期</t>
    <rPh sb="4" eb="5">
      <t>ネン</t>
    </rPh>
    <rPh sb="6" eb="8">
      <t>ガツキ</t>
    </rPh>
    <phoneticPr fontId="41"/>
  </si>
  <si>
    <t>2025年5月期</t>
    <rPh sb="4" eb="5">
      <t>ネン</t>
    </rPh>
    <rPh sb="6" eb="8">
      <t>ガツキ</t>
    </rPh>
    <phoneticPr fontId="41"/>
  </si>
  <si>
    <t>2025年6月期</t>
    <rPh sb="4" eb="5">
      <t>ネン</t>
    </rPh>
    <rPh sb="6" eb="8">
      <t>ガツキ</t>
    </rPh>
    <phoneticPr fontId="41"/>
  </si>
  <si>
    <t>2025年7月期</t>
    <rPh sb="4" eb="5">
      <t>ネン</t>
    </rPh>
    <rPh sb="6" eb="8">
      <t>ガツキ</t>
    </rPh>
    <phoneticPr fontId="41"/>
  </si>
  <si>
    <t>2025年8月期</t>
    <rPh sb="4" eb="5">
      <t>ネン</t>
    </rPh>
    <rPh sb="6" eb="8">
      <t>ガツキ</t>
    </rPh>
    <phoneticPr fontId="41"/>
  </si>
  <si>
    <t>2025年9月期</t>
    <rPh sb="4" eb="5">
      <t>ネン</t>
    </rPh>
    <rPh sb="6" eb="8">
      <t>ガツキ</t>
    </rPh>
    <phoneticPr fontId="41"/>
  </si>
  <si>
    <t>2025年10月期</t>
    <rPh sb="4" eb="5">
      <t>ネン</t>
    </rPh>
    <rPh sb="7" eb="9">
      <t>ガツキ</t>
    </rPh>
    <phoneticPr fontId="41"/>
  </si>
  <si>
    <t>2025年11月期</t>
    <rPh sb="4" eb="5">
      <t>ネン</t>
    </rPh>
    <rPh sb="7" eb="9">
      <t>ガツキ</t>
    </rPh>
    <phoneticPr fontId="41"/>
  </si>
  <si>
    <t>2025年12月期</t>
    <rPh sb="4" eb="5">
      <t>ネン</t>
    </rPh>
    <rPh sb="7" eb="9">
      <t>ガツキ</t>
    </rPh>
    <phoneticPr fontId="41"/>
  </si>
  <si>
    <t>2026年1月期</t>
    <rPh sb="4" eb="5">
      <t>ネン</t>
    </rPh>
    <rPh sb="6" eb="8">
      <t>ガツキ</t>
    </rPh>
    <phoneticPr fontId="41"/>
  </si>
  <si>
    <t>2026年2月期</t>
    <rPh sb="4" eb="5">
      <t>ネン</t>
    </rPh>
    <rPh sb="6" eb="8">
      <t>ガツキ</t>
    </rPh>
    <phoneticPr fontId="41"/>
  </si>
  <si>
    <t>2026年3月期</t>
    <rPh sb="4" eb="5">
      <t>ネン</t>
    </rPh>
    <rPh sb="6" eb="8">
      <t>ガツキ</t>
    </rPh>
    <phoneticPr fontId="41"/>
  </si>
  <si>
    <t>円</t>
    <rPh sb="0" eb="1">
      <t>エン</t>
    </rPh>
    <phoneticPr fontId="41"/>
  </si>
  <si>
    <t>(選択)</t>
    <rPh sb="1" eb="3">
      <t>センタク</t>
    </rPh>
    <phoneticPr fontId="41"/>
  </si>
  <si>
    <r>
      <t>2</t>
    </r>
    <r>
      <rPr>
        <sz val="11"/>
        <color theme="1"/>
        <rFont val="游ゴシック"/>
        <family val="3"/>
        <charset val="128"/>
        <scheme val="minor"/>
      </rPr>
      <t>023年1月期</t>
    </r>
    <rPh sb="4" eb="5">
      <t>ネン</t>
    </rPh>
    <rPh sb="6" eb="8">
      <t>ガツキ</t>
    </rPh>
    <phoneticPr fontId="41"/>
  </si>
  <si>
    <r>
      <t>2</t>
    </r>
    <r>
      <rPr>
        <sz val="11"/>
        <color theme="1"/>
        <rFont val="游ゴシック"/>
        <family val="3"/>
        <charset val="128"/>
        <scheme val="minor"/>
      </rPr>
      <t>023年2月期</t>
    </r>
    <rPh sb="4" eb="5">
      <t>ネン</t>
    </rPh>
    <rPh sb="6" eb="8">
      <t>ガツキ</t>
    </rPh>
    <phoneticPr fontId="41"/>
  </si>
  <si>
    <t>令和７年度　事業環境変化に対応した経営基盤強化事業
(一般コース)　申請書</t>
    <rPh sb="0" eb="1">
      <t>レイ</t>
    </rPh>
    <rPh sb="1" eb="2">
      <t>ワ</t>
    </rPh>
    <rPh sb="3" eb="4">
      <t>ネン</t>
    </rPh>
    <rPh sb="4" eb="5">
      <t>ド</t>
    </rPh>
    <rPh sb="6" eb="8">
      <t>ジギョウ</t>
    </rPh>
    <rPh sb="8" eb="10">
      <t>カンキョウ</t>
    </rPh>
    <rPh sb="10" eb="12">
      <t>ヘンカ</t>
    </rPh>
    <rPh sb="13" eb="15">
      <t>タイオウ</t>
    </rPh>
    <rPh sb="17" eb="19">
      <t>ケイエイ</t>
    </rPh>
    <rPh sb="19" eb="21">
      <t>キバン</t>
    </rPh>
    <rPh sb="21" eb="23">
      <t>キョウカ</t>
    </rPh>
    <rPh sb="23" eb="25">
      <t>ジギョウ</t>
    </rPh>
    <rPh sb="27" eb="29">
      <t>イッパン</t>
    </rPh>
    <rPh sb="34" eb="37">
      <t>シンセイショ</t>
    </rPh>
    <phoneticPr fontId="40"/>
  </si>
  <si>
    <t>A: 中小企業者(賃上げなし)</t>
    <phoneticPr fontId="41"/>
  </si>
  <si>
    <t>要件ｃ</t>
    <rPh sb="0" eb="2">
      <t>ヨウケン</t>
    </rPh>
    <phoneticPr fontId="41"/>
  </si>
  <si>
    <t>（２）業績確認　※（１）で選択した申請要件（ａまたはｂまたはｃ）について記入</t>
    <rPh sb="3" eb="5">
      <t>ギョウセキ</t>
    </rPh>
    <rPh sb="5" eb="7">
      <t>カクニン</t>
    </rPh>
    <rPh sb="13" eb="15">
      <t>センタク</t>
    </rPh>
    <rPh sb="17" eb="21">
      <t>シンセイヨウケン</t>
    </rPh>
    <rPh sb="36" eb="38">
      <t>キニュウ</t>
    </rPh>
    <phoneticPr fontId="42"/>
  </si>
  <si>
    <t>5．米国関税措置による影響と対策（申請者３シートの５.決算状況(1)要件確認のうち、申請要件でcを選択した方のみ記入）</t>
    <rPh sb="2" eb="4">
      <t>ベイコク</t>
    </rPh>
    <rPh sb="4" eb="6">
      <t>カンゼイ</t>
    </rPh>
    <rPh sb="6" eb="8">
      <t>ソチ</t>
    </rPh>
    <rPh sb="11" eb="13">
      <t>エイキョウ</t>
    </rPh>
    <rPh sb="14" eb="16">
      <t>タイサク</t>
    </rPh>
    <rPh sb="17" eb="20">
      <t>シンセイシャ</t>
    </rPh>
    <rPh sb="27" eb="31">
      <t>ケッサンジョウキョウ</t>
    </rPh>
    <rPh sb="34" eb="36">
      <t>ヨウケン</t>
    </rPh>
    <rPh sb="36" eb="38">
      <t>カクニン</t>
    </rPh>
    <rPh sb="42" eb="46">
      <t>シンセイヨウケン</t>
    </rPh>
    <rPh sb="49" eb="51">
      <t>センタク</t>
    </rPh>
    <rPh sb="53" eb="54">
      <t>カタ</t>
    </rPh>
    <rPh sb="56" eb="58">
      <t>キニュウ</t>
    </rPh>
    <phoneticPr fontId="41"/>
  </si>
  <si>
    <t>ｃ．米国関税措置による影響により、次期決算期の売上高が、直近決算期の売上高と比較して減少することを見込んでいる</t>
    <phoneticPr fontId="41"/>
  </si>
  <si>
    <t>次期</t>
    <phoneticPr fontId="41"/>
  </si>
  <si>
    <t>（１）米国関税措置によりどの程度影響を受ける見込みか。また、それに対しどう具体的に対策を行う予定か。</t>
    <rPh sb="3" eb="5">
      <t>ベイコク</t>
    </rPh>
    <rPh sb="5" eb="7">
      <t>カンゼイ</t>
    </rPh>
    <rPh sb="7" eb="9">
      <t>ソチ</t>
    </rPh>
    <rPh sb="14" eb="16">
      <t>テイド</t>
    </rPh>
    <rPh sb="16" eb="18">
      <t>エイキョウ</t>
    </rPh>
    <rPh sb="19" eb="20">
      <t>ウ</t>
    </rPh>
    <rPh sb="22" eb="24">
      <t>ミコ</t>
    </rPh>
    <rPh sb="33" eb="34">
      <t>タイ</t>
    </rPh>
    <rPh sb="37" eb="40">
      <t>グタイテキ</t>
    </rPh>
    <rPh sb="41" eb="43">
      <t>タイサク</t>
    </rPh>
    <rPh sb="44" eb="45">
      <t>オコナ</t>
    </rPh>
    <rPh sb="46" eb="48">
      <t>ヨテイ</t>
    </rPh>
    <phoneticPr fontId="42"/>
  </si>
  <si>
    <t>（２）「2. 助成事業終了後の収益計画」に記載の売上高を達成できる見込みはあるか。※その理由も記載</t>
    <rPh sb="21" eb="23">
      <t>キサイ</t>
    </rPh>
    <rPh sb="24" eb="26">
      <t>ウリアゲ</t>
    </rPh>
    <rPh sb="26" eb="27">
      <t>ダカ</t>
    </rPh>
    <rPh sb="28" eb="30">
      <t>タッセイ</t>
    </rPh>
    <rPh sb="33" eb="35">
      <t>ミコ</t>
    </rPh>
    <rPh sb="44" eb="46">
      <t>リユウ</t>
    </rPh>
    <rPh sb="47" eb="49">
      <t>キサイ</t>
    </rPh>
    <phoneticPr fontId="42"/>
  </si>
  <si>
    <t>C: 賃金引上げ計画を掲げる小規模企業者</t>
    <rPh sb="17" eb="20">
      <t>キギョウシャ</t>
    </rPh>
    <phoneticPr fontId="41"/>
  </si>
  <si>
    <r>
      <t>2</t>
    </r>
    <r>
      <rPr>
        <sz val="11"/>
        <color theme="1"/>
        <rFont val="游ゴシック"/>
        <family val="3"/>
        <charset val="128"/>
        <scheme val="minor"/>
      </rPr>
      <t>023年3月期</t>
    </r>
    <r>
      <rPr>
        <sz val="11"/>
        <color theme="1"/>
        <rFont val="游ゴシック"/>
        <family val="2"/>
        <charset val="128"/>
        <scheme val="minor"/>
      </rPr>
      <t/>
    </r>
    <rPh sb="4" eb="5">
      <t>ネン</t>
    </rPh>
    <rPh sb="6" eb="8">
      <t>ガツキ</t>
    </rPh>
    <phoneticPr fontId="41"/>
  </si>
  <si>
    <r>
      <t>2</t>
    </r>
    <r>
      <rPr>
        <sz val="11"/>
        <color theme="1"/>
        <rFont val="游ゴシック"/>
        <family val="3"/>
        <charset val="128"/>
        <scheme val="minor"/>
      </rPr>
      <t>023年4月期</t>
    </r>
    <r>
      <rPr>
        <sz val="11"/>
        <color theme="1"/>
        <rFont val="游ゴシック"/>
        <family val="2"/>
        <charset val="128"/>
        <scheme val="minor"/>
      </rPr>
      <t/>
    </r>
    <rPh sb="4" eb="5">
      <t>ネン</t>
    </rPh>
    <rPh sb="6" eb="8">
      <t>ガツキ</t>
    </rPh>
    <phoneticPr fontId="41"/>
  </si>
  <si>
    <r>
      <t>2</t>
    </r>
    <r>
      <rPr>
        <sz val="11"/>
        <color theme="1"/>
        <rFont val="游ゴシック"/>
        <family val="3"/>
        <charset val="128"/>
        <scheme val="minor"/>
      </rPr>
      <t>023年5月期</t>
    </r>
    <r>
      <rPr>
        <sz val="11"/>
        <color theme="1"/>
        <rFont val="游ゴシック"/>
        <family val="2"/>
        <charset val="128"/>
        <scheme val="minor"/>
      </rPr>
      <t/>
    </r>
    <rPh sb="4" eb="5">
      <t>ネン</t>
    </rPh>
    <rPh sb="6" eb="8">
      <t>ガツキ</t>
    </rPh>
    <phoneticPr fontId="41"/>
  </si>
  <si>
    <r>
      <t>2</t>
    </r>
    <r>
      <rPr>
        <sz val="11"/>
        <color theme="1"/>
        <rFont val="游ゴシック"/>
        <family val="3"/>
        <charset val="128"/>
        <scheme val="minor"/>
      </rPr>
      <t>023年6月期</t>
    </r>
    <r>
      <rPr>
        <sz val="11"/>
        <color theme="1"/>
        <rFont val="游ゴシック"/>
        <family val="2"/>
        <charset val="128"/>
        <scheme val="minor"/>
      </rPr>
      <t/>
    </r>
    <rPh sb="4" eb="5">
      <t>ネン</t>
    </rPh>
    <rPh sb="6" eb="8">
      <t>ガツキ</t>
    </rPh>
    <phoneticPr fontId="41"/>
  </si>
  <si>
    <r>
      <t>2</t>
    </r>
    <r>
      <rPr>
        <sz val="11"/>
        <color theme="1"/>
        <rFont val="游ゴシック"/>
        <family val="3"/>
        <charset val="128"/>
        <scheme val="minor"/>
      </rPr>
      <t>023年7月期</t>
    </r>
    <r>
      <rPr>
        <sz val="11"/>
        <color theme="1"/>
        <rFont val="游ゴシック"/>
        <family val="2"/>
        <charset val="128"/>
        <scheme val="minor"/>
      </rPr>
      <t/>
    </r>
    <rPh sb="4" eb="5">
      <t>ネン</t>
    </rPh>
    <rPh sb="6" eb="8">
      <t>ガツキ</t>
    </rPh>
    <phoneticPr fontId="41"/>
  </si>
  <si>
    <r>
      <t>2</t>
    </r>
    <r>
      <rPr>
        <sz val="11"/>
        <color theme="1"/>
        <rFont val="游ゴシック"/>
        <family val="3"/>
        <charset val="128"/>
        <scheme val="minor"/>
      </rPr>
      <t>023年8月期</t>
    </r>
    <r>
      <rPr>
        <sz val="11"/>
        <color theme="1"/>
        <rFont val="游ゴシック"/>
        <family val="2"/>
        <charset val="128"/>
        <scheme val="minor"/>
      </rPr>
      <t/>
    </r>
    <rPh sb="4" eb="5">
      <t>ネン</t>
    </rPh>
    <rPh sb="6" eb="8">
      <t>ガツキ</t>
    </rPh>
    <phoneticPr fontId="41"/>
  </si>
  <si>
    <r>
      <t>2</t>
    </r>
    <r>
      <rPr>
        <sz val="11"/>
        <color theme="1"/>
        <rFont val="游ゴシック"/>
        <family val="3"/>
        <charset val="128"/>
        <scheme val="minor"/>
      </rPr>
      <t>023年9月期</t>
    </r>
    <r>
      <rPr>
        <sz val="11"/>
        <color theme="1"/>
        <rFont val="游ゴシック"/>
        <family val="2"/>
        <charset val="128"/>
        <scheme val="minor"/>
      </rPr>
      <t/>
    </r>
    <rPh sb="4" eb="5">
      <t>ネン</t>
    </rPh>
    <rPh sb="6" eb="8">
      <t>ガツキ</t>
    </rPh>
    <phoneticPr fontId="41"/>
  </si>
  <si>
    <r>
      <t>2</t>
    </r>
    <r>
      <rPr>
        <sz val="11"/>
        <color theme="1"/>
        <rFont val="游ゴシック"/>
        <family val="3"/>
        <charset val="128"/>
        <scheme val="minor"/>
      </rPr>
      <t>023年10月期</t>
    </r>
    <r>
      <rPr>
        <sz val="11"/>
        <color theme="1"/>
        <rFont val="游ゴシック"/>
        <family val="2"/>
        <charset val="128"/>
        <scheme val="minor"/>
      </rPr>
      <t/>
    </r>
    <rPh sb="4" eb="5">
      <t>ネン</t>
    </rPh>
    <rPh sb="7" eb="9">
      <t>ガツキ</t>
    </rPh>
    <phoneticPr fontId="41"/>
  </si>
  <si>
    <r>
      <t>2</t>
    </r>
    <r>
      <rPr>
        <sz val="11"/>
        <color theme="1"/>
        <rFont val="游ゴシック"/>
        <family val="3"/>
        <charset val="128"/>
        <scheme val="minor"/>
      </rPr>
      <t>023年11月期</t>
    </r>
    <r>
      <rPr>
        <sz val="11"/>
        <color theme="1"/>
        <rFont val="游ゴシック"/>
        <family val="2"/>
        <charset val="128"/>
        <scheme val="minor"/>
      </rPr>
      <t/>
    </r>
    <rPh sb="4" eb="5">
      <t>ネン</t>
    </rPh>
    <rPh sb="7" eb="9">
      <t>ガツキ</t>
    </rPh>
    <phoneticPr fontId="41"/>
  </si>
  <si>
    <r>
      <t>2</t>
    </r>
    <r>
      <rPr>
        <sz val="11"/>
        <color theme="1"/>
        <rFont val="游ゴシック"/>
        <family val="3"/>
        <charset val="128"/>
        <scheme val="minor"/>
      </rPr>
      <t>023年12月期</t>
    </r>
    <r>
      <rPr>
        <sz val="11"/>
        <color theme="1"/>
        <rFont val="游ゴシック"/>
        <family val="2"/>
        <charset val="128"/>
        <scheme val="minor"/>
      </rPr>
      <t/>
    </r>
    <rPh sb="4" eb="5">
      <t>ネン</t>
    </rPh>
    <rPh sb="7" eb="9">
      <t>ガツキ</t>
    </rPh>
    <phoneticPr fontId="41"/>
  </si>
  <si>
    <t>03漁業（水産養殖業を除く）</t>
  </si>
  <si>
    <t>05鉱業，採石業，砂利採取業</t>
  </si>
  <si>
    <t>06総合工事業</t>
  </si>
  <si>
    <t>07職別工事業(設備工事業を除く)</t>
  </si>
  <si>
    <t>15印刷・同関連業</t>
  </si>
  <si>
    <t>17石油製品・石炭製品製造業</t>
  </si>
  <si>
    <t>19ゴム製品製造業</t>
  </si>
  <si>
    <t>22鉄鋼業</t>
  </si>
  <si>
    <t>64貸金業，クレジットカード業等非預金信用機関</t>
  </si>
  <si>
    <t>65金融商品取引業，商品先物取引業</t>
  </si>
  <si>
    <t>67保険業（保険媒介代理業，保険サービス業を含む）</t>
  </si>
  <si>
    <t>53建築材料，鉱物・金属材料等卸売業</t>
  </si>
  <si>
    <t>55その他の卸売業</t>
  </si>
  <si>
    <t>72専門サービス業（他に分類されないもの）</t>
  </si>
  <si>
    <t>82その他の教育，学習支援業</t>
  </si>
  <si>
    <t>83医療業</t>
  </si>
  <si>
    <t>85社会保険・社会福祉・介護事業</t>
  </si>
  <si>
    <t>91職業紹介・労働者派遣業</t>
  </si>
  <si>
    <t>61無店舗小売業</t>
  </si>
  <si>
    <t>77持ち帰り・配達飲食サービス業</t>
  </si>
  <si>
    <t>39情報サービス業　※ソフトウェア業、情報処理・提供サービス業除く</t>
    <rPh sb="31" eb="32">
      <t>ノゾ</t>
    </rPh>
    <phoneticPr fontId="42"/>
  </si>
  <si>
    <t>41映像・音声・文字情報制作業　※新聞業、出版業を除く</t>
    <rPh sb="25" eb="26">
      <t>ノゾ</t>
    </rPh>
    <phoneticPr fontId="42"/>
  </si>
  <si>
    <t>69不動産賃貸業・管理業　※駐車場業のみ</t>
    <phoneticPr fontId="42"/>
  </si>
  <si>
    <t>・１契約あたり30万円以上の項目は、申請時に見積書・カタログ等の提出が必要です。</t>
    <phoneticPr fontId="41"/>
  </si>
  <si>
    <t>「助成金交付申請額」とは、「助成対象経費」のうち、助成金の交付を希望する額で「助成対象経費」に助成率を乗じた金額（千円未満切り捨て）で、かつ助成限度額以内となります。</t>
    <phoneticPr fontId="42"/>
  </si>
  <si>
    <t>2026年4月期</t>
    <rPh sb="4" eb="5">
      <t>ネン</t>
    </rPh>
    <rPh sb="6" eb="8">
      <t>ガツキ</t>
    </rPh>
    <phoneticPr fontId="41"/>
  </si>
  <si>
    <t>2026年5月期</t>
    <rPh sb="4" eb="5">
      <t>ネン</t>
    </rPh>
    <rPh sb="6" eb="8">
      <t>ガツキ</t>
    </rPh>
    <phoneticPr fontId="41"/>
  </si>
  <si>
    <t>2026年6月期</t>
    <rPh sb="4" eb="5">
      <t>ネン</t>
    </rPh>
    <rPh sb="6" eb="8">
      <t>ガツキ</t>
    </rPh>
    <phoneticPr fontId="41"/>
  </si>
  <si>
    <t>2026年7月期</t>
    <rPh sb="4" eb="5">
      <t>ネン</t>
    </rPh>
    <rPh sb="6" eb="8">
      <t>ガツキ</t>
    </rPh>
    <phoneticPr fontId="41"/>
  </si>
  <si>
    <t>2026年8月期</t>
    <rPh sb="4" eb="5">
      <t>ネン</t>
    </rPh>
    <rPh sb="6" eb="8">
      <t>ガツキ</t>
    </rPh>
    <phoneticPr fontId="41"/>
  </si>
  <si>
    <t>2026年9月期</t>
    <rPh sb="4" eb="5">
      <t>ネン</t>
    </rPh>
    <rPh sb="6" eb="8">
      <t>ガツキ</t>
    </rPh>
    <phoneticPr fontId="41"/>
  </si>
  <si>
    <t>2026年10月期</t>
    <rPh sb="4" eb="5">
      <t>ネン</t>
    </rPh>
    <rPh sb="7" eb="9">
      <t>ガツキ</t>
    </rPh>
    <phoneticPr fontId="41"/>
  </si>
  <si>
    <t>2026年11月期</t>
    <rPh sb="4" eb="5">
      <t>ネン</t>
    </rPh>
    <rPh sb="7" eb="9">
      <t>ガツキ</t>
    </rPh>
    <phoneticPr fontId="41"/>
  </si>
  <si>
    <t>2026年12月期</t>
    <rPh sb="4" eb="5">
      <t>ネン</t>
    </rPh>
    <rPh sb="7" eb="9">
      <t>ガツキ</t>
    </rPh>
    <phoneticPr fontId="41"/>
  </si>
  <si>
    <r>
      <t>202</t>
    </r>
    <r>
      <rPr>
        <sz val="11"/>
        <color theme="1"/>
        <rFont val="游ゴシック"/>
        <family val="2"/>
        <charset val="128"/>
        <scheme val="minor"/>
      </rPr>
      <t>7</t>
    </r>
    <r>
      <rPr>
        <sz val="11"/>
        <color theme="1"/>
        <rFont val="游ゴシック"/>
        <family val="2"/>
        <charset val="128"/>
        <scheme val="minor"/>
      </rPr>
      <t>年1月期</t>
    </r>
    <rPh sb="4" eb="5">
      <t>ネン</t>
    </rPh>
    <rPh sb="6" eb="8">
      <t>ガツキ</t>
    </rPh>
    <phoneticPr fontId="41"/>
  </si>
  <si>
    <r>
      <t>202</t>
    </r>
    <r>
      <rPr>
        <sz val="11"/>
        <color theme="1"/>
        <rFont val="游ゴシック"/>
        <family val="2"/>
        <charset val="128"/>
        <scheme val="minor"/>
      </rPr>
      <t>7</t>
    </r>
    <r>
      <rPr>
        <sz val="11"/>
        <color theme="1"/>
        <rFont val="游ゴシック"/>
        <family val="2"/>
        <charset val="128"/>
        <scheme val="minor"/>
      </rPr>
      <t>年2月期</t>
    </r>
    <r>
      <rPr>
        <sz val="11"/>
        <color theme="1"/>
        <rFont val="游ゴシック"/>
        <family val="2"/>
        <charset val="128"/>
        <scheme val="minor"/>
      </rPr>
      <t/>
    </r>
    <rPh sb="4" eb="5">
      <t>ネン</t>
    </rPh>
    <rPh sb="6" eb="8">
      <t>ガツキ</t>
    </rPh>
    <phoneticPr fontId="41"/>
  </si>
  <si>
    <r>
      <t>202</t>
    </r>
    <r>
      <rPr>
        <sz val="11"/>
        <color theme="1"/>
        <rFont val="游ゴシック"/>
        <family val="2"/>
        <charset val="128"/>
        <scheme val="minor"/>
      </rPr>
      <t>7</t>
    </r>
    <r>
      <rPr>
        <sz val="11"/>
        <color theme="1"/>
        <rFont val="游ゴシック"/>
        <family val="2"/>
        <charset val="128"/>
        <scheme val="minor"/>
      </rPr>
      <t>年3月期</t>
    </r>
    <r>
      <rPr>
        <sz val="11"/>
        <color theme="1"/>
        <rFont val="游ゴシック"/>
        <family val="2"/>
        <charset val="128"/>
        <scheme val="minor"/>
      </rPr>
      <t/>
    </r>
    <rPh sb="4" eb="5">
      <t>ネン</t>
    </rPh>
    <rPh sb="6" eb="8">
      <t>ガツキ</t>
    </rPh>
    <phoneticPr fontId="41"/>
  </si>
  <si>
    <t>(２)が「はい」かつ、本申請との経費または内容の重複が「有」のものについて、重複助成防止の観点から必ず下表を作成してください。</t>
    <rPh sb="11" eb="12">
      <t>ホン</t>
    </rPh>
    <rPh sb="12" eb="14">
      <t>シンセイ</t>
    </rPh>
    <rPh sb="16" eb="18">
      <t>ケイヒ</t>
    </rPh>
    <rPh sb="21" eb="23">
      <t>ナイヨウ</t>
    </rPh>
    <rPh sb="24" eb="26">
      <t>チョウフク</t>
    </rPh>
    <rPh sb="28" eb="29">
      <t>アリ</t>
    </rPh>
    <rPh sb="38" eb="40">
      <t>チョウフク</t>
    </rPh>
    <rPh sb="40" eb="42">
      <t>ジョセイ</t>
    </rPh>
    <rPh sb="42" eb="44">
      <t>ボウシ</t>
    </rPh>
    <rPh sb="45" eb="47">
      <t>カンテン</t>
    </rPh>
    <rPh sb="49" eb="50">
      <t>カナラ</t>
    </rPh>
    <rPh sb="51" eb="53">
      <t>カヒョウ</t>
    </rPh>
    <rPh sb="54" eb="56">
      <t>サクセイ</t>
    </rPh>
    <phoneticPr fontId="42"/>
  </si>
  <si>
    <t>ａ．直近決算期の売上高が「2023年決算期以降のいずれかの決算期」と比較して減少している</t>
    <rPh sb="21" eb="23">
      <t>イコウ</t>
    </rPh>
    <rPh sb="29" eb="32">
      <t>ケッサンキ</t>
    </rPh>
    <phoneticPr fontId="41"/>
  </si>
  <si>
    <r>
      <t>v</t>
    </r>
    <r>
      <rPr>
        <sz val="9"/>
        <color theme="1" tint="0.499984740745262"/>
        <rFont val="游ゴシック"/>
        <family val="3"/>
        <charset val="128"/>
        <scheme val="minor"/>
      </rPr>
      <t>er.3_251225</t>
    </r>
    <phoneticPr fontId="40"/>
  </si>
  <si>
    <t>法人</t>
  </si>
  <si>
    <t>A: 中小企業者(賃上げなし)</t>
  </si>
  <si>
    <t>東京都品川区荏原4-3-18 丸福ビル2階</t>
    <rPh sb="0" eb="3">
      <t xml:space="preserve">トウキョウト </t>
    </rPh>
    <rPh sb="3" eb="6">
      <t xml:space="preserve">シナガワク </t>
    </rPh>
    <rPh sb="6" eb="8">
      <t xml:space="preserve">エバラ </t>
    </rPh>
    <rPh sb="15" eb="17">
      <t xml:space="preserve">マルフクビル </t>
    </rPh>
    <rPh sb="20" eb="21">
      <t xml:space="preserve">カイ </t>
    </rPh>
    <phoneticPr fontId="40"/>
  </si>
  <si>
    <t>株式会社プルスウルトラ</t>
    <rPh sb="0" eb="4">
      <t xml:space="preserve">カブシキガイシャ </t>
    </rPh>
    <phoneticPr fontId="40"/>
  </si>
  <si>
    <t>代表取締役</t>
    <rPh sb="0" eb="5">
      <t xml:space="preserve">ダイヒョウトリシマリヤク </t>
    </rPh>
    <phoneticPr fontId="40"/>
  </si>
  <si>
    <t>木下大輔</t>
    <rPh sb="0" eb="2">
      <t xml:space="preserve">キノシタ </t>
    </rPh>
    <rPh sb="2" eb="4">
      <t xml:space="preserve">ダイスケ </t>
    </rPh>
    <phoneticPr fontId="40"/>
  </si>
  <si>
    <t>090-1805-0178</t>
    <phoneticPr fontId="41"/>
  </si>
  <si>
    <t>D.kinoshita@pltra.co.jp</t>
    <phoneticPr fontId="41"/>
  </si>
  <si>
    <t>キノシタダイスケ</t>
    <phoneticPr fontId="41"/>
  </si>
  <si>
    <t>川崎市議会議員飯田満</t>
    <rPh sb="0" eb="7">
      <t xml:space="preserve">カワサキシギカイギイン </t>
    </rPh>
    <rPh sb="7" eb="10">
      <t xml:space="preserve">イイダミツル </t>
    </rPh>
    <phoneticPr fontId="41"/>
  </si>
  <si>
    <t>株式会社成建</t>
    <rPh sb="0" eb="4">
      <t xml:space="preserve">カブシキガイシャ </t>
    </rPh>
    <rPh sb="4" eb="6">
      <t xml:space="preserve">セイケン </t>
    </rPh>
    <phoneticPr fontId="41"/>
  </si>
  <si>
    <t>日本維新の会</t>
    <rPh sb="0" eb="4">
      <t xml:space="preserve">ニホンイシンノカ </t>
    </rPh>
    <rPh sb="5" eb="6">
      <t xml:space="preserve">カイ </t>
    </rPh>
    <phoneticPr fontId="41"/>
  </si>
  <si>
    <t>MT-O中野新橋</t>
    <rPh sb="4" eb="8">
      <t xml:space="preserve">ナカノシンバシ </t>
    </rPh>
    <phoneticPr fontId="41"/>
  </si>
  <si>
    <t>東京都</t>
  </si>
  <si>
    <t>中野区本町5-6-6</t>
    <rPh sb="0" eb="3">
      <t xml:space="preserve">ナカノク </t>
    </rPh>
    <rPh sb="3" eb="5">
      <t xml:space="preserve">ホンチョウ </t>
    </rPh>
    <phoneticPr fontId="41"/>
  </si>
  <si>
    <t>木下大輔</t>
    <rPh sb="0" eb="2">
      <t xml:space="preserve">キノシタ </t>
    </rPh>
    <rPh sb="2" eb="4">
      <t xml:space="preserve">ダイスケ </t>
    </rPh>
    <phoneticPr fontId="41"/>
  </si>
  <si>
    <t>○</t>
  </si>
  <si>
    <t>はい</t>
  </si>
  <si>
    <t>いいえ</t>
  </si>
  <si>
    <t>令和２年度</t>
    <rPh sb="0" eb="2">
      <t xml:space="preserve">レイワ </t>
    </rPh>
    <phoneticPr fontId="41"/>
  </si>
  <si>
    <t>全国商工会連合会</t>
    <rPh sb="0" eb="5">
      <t xml:space="preserve">ゼンコクショウコウカイレンドウカイ </t>
    </rPh>
    <rPh sb="5" eb="8">
      <t xml:space="preserve">レンゴウカイ </t>
    </rPh>
    <phoneticPr fontId="41"/>
  </si>
  <si>
    <t>小規模事業者持続化補助金</t>
    <phoneticPr fontId="41"/>
  </si>
  <si>
    <t>無</t>
  </si>
  <si>
    <t>交付済</t>
  </si>
  <si>
    <t>ａ</t>
  </si>
  <si>
    <t>カブシキガイシャプルスウルトラ</t>
    <phoneticPr fontId="41"/>
  </si>
  <si>
    <t>〒142－0063</t>
    <phoneticPr fontId="41"/>
  </si>
  <si>
    <t>代表取締役</t>
    <rPh sb="0" eb="5">
      <t xml:space="preserve">ダイヒョウトリシマリヤク </t>
    </rPh>
    <phoneticPr fontId="41"/>
  </si>
  <si>
    <t>広告制作を主軸とする。2016年設立以来、企業および政治家等の広報・広告デザイン事業を展開。グラフィックデザイン業務を中心に、企業広報誌の取材・編集および情報発信支援を得意とする。コロナ禍では取材活動が制限され、多くの企業が紙媒体から動画へ広告媒体を転換したことから、写真・グラフィックデザインの経験を活かし動画制作事業へ展開。しかし企業広報・広告事業は現在も回復に至っておらず、新たな収益源確保のため、代表者の写真技術を活かした事業展開を模索。2022年よりファインアート写真制作（プラチナパラジウムプリント）技術の習得を開始し、2024年より作家活動を本格化。国内主要写真賞受賞（JPA優秀賞、JPS奨励賞等）、京都国際写真祭ピックアップアーティスト選出、ディスカバリーアワードファイナリスト選出等の実績を重ね、専門誌からの執筆依頼やワークショップ開催要請が増加。これらを契機に、古典写真技法の教育・制作支援事業への展開可能性を見出した。</t>
    <phoneticPr fontId="41"/>
  </si>
  <si>
    <t>木下真理</t>
    <rPh sb="0" eb="1">
      <t xml:space="preserve">キノシタマリ </t>
    </rPh>
    <phoneticPr fontId="41"/>
  </si>
  <si>
    <t>取締役</t>
    <rPh sb="0" eb="3">
      <t xml:space="preserve">トリシマリヤク </t>
    </rPh>
    <phoneticPr fontId="41"/>
  </si>
  <si>
    <t>専門性: プラチナプリント作家としての実績、国内主要写真展で受賞経験 / 業界トップとの連携: 猪股良文氏(元アトリエ・シャテーニュ)、久保元幸氏(ザ プリンツ)との業務提携。さらに東京工芸大学名誉教授 内藤明氏、日本写真芸術学会 高橋則英会長および東京工芸大学芸術学部写真学科 大和田良准教授との連携 / 事業基盤: 2016年から広告制作・商業写真撮影事業を展開 / 保持する希少設備: デジタルネガ出力用特殊プリンター(日本初)や写真専用UV露光機</t>
    <rPh sb="30" eb="34">
      <t xml:space="preserve">ジュショウケイケン </t>
    </rPh>
    <phoneticPr fontId="41"/>
  </si>
  <si>
    <t>作家としての認知度不足: 作家活動3年、市場での認知拡大が必要 / 用途に合った物件探しの難しさ: 水を多用する設備条件が必要 / 初期投資: 写真専用暗室制作の実績がなく、外部専門家への委託が必要 / 専門人材の育成: 専門性が高く人材育成に時間を要する。熟練技術者の高齢化により技術習得の時間が限られている</t>
    <phoneticPr fontId="41"/>
  </si>
  <si>
    <t>世界的アナログ回帰: 写真アート市場年率6%成長、ファインアートプリント市場年率6.7%成長 / 日本市場の空白: 古典技法を体系的に学べる常設施設が不在 / 若年層の関心: Instagram #filmisnotdead 3,000万件超、Z世代の物質性回帰 / 古典技法作品の収集強化: 世界的な潮流として美術館での収集が拡大 / 海外との格差: 米国・欧州に総合型ラボ多数、日本は不足 / 教育機関の限界: 大学・専門学校では古典技法の紹介にとどまり、詳細な技術習得の場が不在</t>
    <rPh sb="134" eb="138">
      <t xml:space="preserve">コテンギホウ </t>
    </rPh>
    <rPh sb="138" eb="140">
      <t xml:space="preserve">サクヒン </t>
    </rPh>
    <rPh sb="146" eb="149">
      <t xml:space="preserve">セカイテキナチョウリュウ </t>
    </rPh>
    <phoneticPr fontId="41"/>
  </si>
  <si>
    <t>材料費高騰リスク: プラチナ等貴金属価格変動により材料費が不安定。為替変動の影響も大きく、海外からの薬品・用紙調達コストが予測困難 / 技術継承断絶: 熟練技術者の高齢化が進み、引退により技術・ノウハウの継承機会が失われる / 競合参入: 成功モデル確立後、類似施設による模倣参入の可能性。ただし初期投資の大きさと専門技術者確保の困難さが参入障壁となる</t>
    <phoneticPr fontId="41"/>
  </si>
  <si>
    <t>SO戦略: 業界トップ技術者・代表者の専門性×世界的潮流で日本市場のファーストムーバー優位性確立、トップ技術者連携×空白市場で唯一のソリューション化
ST戦略: 材料開発研究で材料費リスク対応、技術標準化で継承確実化
WO戦略: 世界的潮流を広報材料に作家認知度向上、市場空白により初期投資回収可能、若年層関心を活かし人材育成
WT戦略: 設備条件とコスト最適化で物件探し対応、初期投資の大きさが参入障壁
【総括】業界トップ技術者との連携と代表者の専門性を活かし、世界的なアナログ回帰と日本市場の空白を捉え、ファーストムーバー優位性を確立。材料開発・技術標準化でリスク対応し、初期投資の大きさが参入障壁となり競合優位性を維持。</t>
    <phoneticPr fontId="41"/>
  </si>
  <si>
    <t>技術的連続性: 商業写真のデジタル画像処理技術はデジタルネガ制作の基盤となり、色調・階調管理の経験は品質管理に直接活用できる。
顧客基盤の連続性: 作家活動で接点を持ったプロフェッショナル作家はプリント受注・コミュニティの中核となり、そのムーブメントによりハイアマチュアや写真学生が新規顧客層となる。
事業運営ノウハウの連続性: SNS発信は新事業マーケティングに転用でき、品質管理手法はワークショップ・受注制作の品質保証に直結する。
代表者の専門性の深化: 10年以上の写真実務経験とプラチナプリント作家3年間の実績が、新事業の実現可能性を担保する。</t>
    <phoneticPr fontId="41"/>
  </si>
  <si>
    <t>①メイン事業(2016年〜): 広告制作、商業写真撮影・取材
②コロナ後拡張(2020年〜): 動画制作
③派生事業(2025年8月〜): プラチナプリントワークショップ講師
【事業拡張の契機】代表者が2022年よりファインアート写真制作(プラチナプリント)技術を習得し、2024年より作家活動を本格化。専門誌からの執筆依頼(カメラホリック、フジヤカメラ等)、ワークショップ開催提案が複数寄せられ、SNS・個展を通じて「技術を学びたい」という問い合わせが継続的に届き、教育事業への展開可能性を確信。
【代表者実績】プラチナプリント開始2022年、初個展2024年4月、受賞6件(JPA優秀賞、JPS奨励賞、KG+ Discovery Awardファイナリスト等)、個展4回</t>
    <rPh sb="225" eb="227">
      <t xml:space="preserve">コウシ </t>
    </rPh>
    <phoneticPr fontId="41"/>
  </si>
  <si>
    <t>【本取組の位置づけ】既存事業(広告制作・写真事業)の技術とネットワークを基盤に、古典写真技法の総合施設「Alternative Process Lab」を開設し、教育・制作支援事業へ発展させる。
【6つの事業柱】
①ワークショップ事業: 12種類の古典写真技法(サイアノタイプ、プラチナプリント、湿板写真等)、デジタルネガ制作講座、海外作家招聘マスタークラス
②レンタル暗室事業: 日本初のオルタナティブ専用レンタル暗室。継続制作を支援する会員制システム
③プリント制作受注サービス: プラチナ・パラジウム、銀塩、湿板写真の受注制作。対象はプロ写真家、ギャラリー、コレクター、美術館
④デジタルネガ出力サービス: 日本初の古典技法専用デジタルネガ出力。全国対応の通販体制
⑤コミュニティ事業: 月例講評会、著名作家レクチャー、ギャラリー連携展示、国際ラボ交流
⑥産学連携・研究事業: 大学(東京工芸大学・日大藝術学部等)との教育カリキュラム開発および写真専門機関(日本カメラ博物館等)との共同研究</t>
    <phoneticPr fontId="41"/>
  </si>
  <si>
    <t>技術的連続性: 既存事業のデジタル画像処理技術はデジタルネガ制作の基盤となり、色調・階調管理の経験は品質管理に直接活用できる。
顧客基盤の連続性: 代表者の作家活動を通じて接点を持ったプロフェッショナル作家や写真愛好家が、プリント受注・コミュニティの中核顧客となる。また既存事業の広告制作で培ったネットワークも新事業の広報・集客に活用できる。
事業運営ノウハウの連続性: 既存事業のSNS発信・マーケティング手法は新事業の集客に転用でき、写真撮影・編集で培った品質管理手法はワークショップ・受注制作の品質保証に直結する。
代表者の専門性: 10年以上の写真実務経験で培った技術力と、プラチナプリント作家としての3年間の実績・ネットワークが、新事業の信頼性と実現可能性を担保する。</t>
    <rPh sb="134" eb="138">
      <t xml:space="preserve">シャシンガクセイガ </t>
    </rPh>
    <rPh sb="143" eb="144">
      <t xml:space="preserve">アラタナ </t>
    </rPh>
    <rPh sb="146" eb="148">
      <t xml:space="preserve">カチトシテ </t>
    </rPh>
    <rPh sb="151" eb="153">
      <t xml:space="preserve">シンキ </t>
    </rPh>
    <phoneticPr fontId="41"/>
  </si>
  <si>
    <t>事業領域の拡大: 既存事業は企業向けの写真・デザインサービス(B to B)から、個人作家・写真愛好家向けの教育・制作支援(B to C)へ拡大。/ 提供形態の転換: クライアント要望に応じたカスタムメイド制作から、体系化されたワークショップ・会員制サービスへ転換。/ 技術の社会化: 代表者が蓄積した技術と既存事業ノウハウを統合し、技術を学べる・使える・継承できる社会的インフラを構築。/ 日本初の総合型: 12技法を網羅し、教育・制作・研究・コミュニティを統合した総合型ラボとして、既存の単一技法・体験型施設とは一線を画す。/ 国際連携の構築: 国内完結型から、台湾・欧米専門ラボとの技術交流・共同研究による連携体制を構築。/ デジタル×アナログ融合: デジタル技術の商業応用から、デジタルネガという「架け橋」技術の開発・提供へ発展。</t>
    <phoneticPr fontId="41"/>
  </si>
  <si>
    <t>年間売上高</t>
    <phoneticPr fontId="41"/>
  </si>
  <si>
    <t>【定量効果】
・売上拡大: 既存事業¥18,640,000から、1年目¥9,000,000(新事業のみ、8ヶ月稼働)、2年目¥13,450,000、3年目¥33,850,000(新事業のみ)へ拡大。既存事業と併行することで収益基盤を強化。
・営業利益改善: 1年目は施設準備期間(4ヶ月)および初期投資により利益は限定的だが、2年目以降は営業利益率30%以上、3年目¥18,187,500(利益率54%)と大幅改善。既存事業の低収益性を克服。
・顧客基盤拡大: 年間来訪者数1年目約330名(8ヶ月稼働)、2年目約500名、3年目約1,200名。ワークショップ参加者、暗室会員、コミュニティ会員等の多層的顧客獲得。
・雇用創出: アシスタント1〜2名の新規雇用。次世代への技術継承を視野に入れた採用を行い、将来的な技術者育成を実現。加えてワークショップ等でアルバイトスタッフを雇用し、地域雇用にも貢献。
【定性効果】
・ブランド価値向上: 日本唯一の古典技法総合ラボとしての地位確立により、企業ブランド・代表者の認知度が飛躍的に向上。
・技術的優位性: デジタルネガ技術の標準化、国際技術交流により、競合優位性を確立。
・社会的インパクト: 日本写真文化の国際競争力向上、若手作家育成、技法継承への貢献。
・事業の安定化: B to B単一依存からB to C複合事業へ転換し、収益基盤を多様化・安定化。</t>
    <rPh sb="52" eb="56">
      <t xml:space="preserve">チンタイケイヤクカラ </t>
    </rPh>
    <rPh sb="58" eb="62">
      <t xml:space="preserve">ナイソウコウジノ </t>
    </rPh>
    <rPh sb="63" eb="64">
      <t xml:space="preserve">ヤク </t>
    </rPh>
    <rPh sb="68" eb="69">
      <t xml:space="preserve">ノゾク </t>
    </rPh>
    <phoneticPr fontId="41"/>
  </si>
  <si>
    <t>新事業¥9,000,000(8ヶ月稼働)</t>
    <phoneticPr fontId="41"/>
  </si>
  <si>
    <t>営業利益</t>
    <phoneticPr fontId="41"/>
  </si>
  <si>
    <t>新事業¥2,725,000。新事業により黒字転換</t>
    <phoneticPr fontId="41"/>
  </si>
  <si>
    <t>来訪者数</t>
    <phoneticPr fontId="41"/>
  </si>
  <si>
    <t>0名</t>
    <phoneticPr fontId="41"/>
  </si>
  <si>
    <t>約330名</t>
    <phoneticPr fontId="41"/>
  </si>
  <si>
    <t>新事業のWS参加者+暗室利用者+イベント参加者</t>
    <phoneticPr fontId="41"/>
  </si>
  <si>
    <t>【実施体制】
代表・総責任者: 木下大輔（株式会社プルスウルトラ代表取締役）
・運営全般統括、デジタルネガ技術開発、ワークショップ講師、作家活動
・既存事業（広告制作）との並行運営
技術責任者・主任講師: 猪股良文氏（業務提携・常勤相当）
・古典技法ワークショップ全般、暗室運営、プリント制作受注
・報酬: 営業利益の30%配分による成果報酬型契約
銀塩技術顧問: 久保元幸氏（業務提携・非常勤）
・銀塩プリント受注制作、銀塩技法ワークショップ講師、技術監修
・報酬: 関与案件収益の40%配分
アシスタント: 未定（1〜2名、2年目以降パート雇用予定）
・受付・予約管理、ワークショップ補助、一般事務
・次世代への技術継承を視野に入れた採用・育成
外部連携:
・技術連携: 光影手工暗房工作室（台湾）、GOLD・STRET・STUDIOS（オーストラリア）
・学術連携: 東京工芸大学名誉教授 内藤明氏、日本写真芸術学会 高橋則英会長、東京工芸大学芸術学部写真学科 大和田良准教授
・施設連携:日本カメラ博物館、美術館、美術大学、ギャラリー
・薬品・設備: 高橋藤吉商店やPGIなどの薬品サプライヤー</t>
    <phoneticPr fontId="41"/>
  </si>
  <si>
    <t>顧客獲得策：多層的なアプローチにより顧客接点を構築する。入門層には「楽しさ」を体験してもらい、中級層には体系的ワークショッププログラムで深化を促進、上級層にはマスタークラスや展示機会を提供してロイヤル化を図る。これにより「体験→入門WS→中級WS→暗室会員→コミュニティ会員」という顧客育成サイクルを構築し、顧客のライフタイムバリューを最大化する。デジタルマーケティングでは、検索上位表示、SNS(Instagram/Twitter/YouTube)での発信、リターゲティング広告により効率的な集客を実現する。
市場拡大策：東京を拠点として、顧客層と提供サービスを段階的に拡大する。1〜2年目は一般作家・写真愛好家を中心に基盤を確立し、2〜3年目には大学との連携を強化する。多くの大学では古典技法の紹介程度にとどまっているため、より深く学びたい学生をターゲットにした学生向けプログラムを開発・実施する。3年目以降は国際展開準備として海外作家招聘・英語対応を進める。サービス領域拡大では、B to B市場(ギャラリー・美術館・企業向けサービス)、オンラインサービス(デジタルネガ出力通販・動画配信)、研究・出版事業(技法マニュアル・学術論文)へと展開する。
創意工夫・独自性：日本初の総合型モデルとして「学ぶ(ワークショップ)+作る(暗室)+つながる(コミュニティ)」を統合し、作家のワンストップ支援を実現する。デジタル×アナログ融合技術では、独自開発の階調管理システムと用紙別・技法別プロファイルにより、従来の「アナログ vs デジタル」という対立構造を超越した品質保証を実現。段階的成長戦略により、1年目は1室体制で開始し、4〜6年目に2室目増設を準備することでリスクを最小化する。現役作家(木下)×トップ技術者(猪股・久保)という日本唯一の組合せと、台湾・欧米との国際ネットワークにより、国内外の最新技術と知見を統合する。</t>
    <phoneticPr fontId="41"/>
  </si>
  <si>
    <t>短期(1〜3年目): 基盤確立期：1年目は東京に1室体制で開業し、運営システムを確立、初年度黒字化を達成する。2〜3年目はサービス拡充と会員拡大を進め、「日本唯一の総合型ラボ」としての地位を確立する。美術大学・ギャラリー・国際ラボとの連携を本格化する。
中期(4〜6年目): 拡大・深化期：研究・出版事業(技法マニュアル、学術論文)と大学・研究機関との共同研究を進める。オンラインサービス(デジタルネガ出力全国対応、技法解説動画配信)とB to B市場(ギャラリー・美術館・企業向けプログラム)へ展開する。6年目に2室目増設を実施する。
長期(7年目〜): 深化・国際化期：東京拠点の深化と国際展開を進める。アジア圏との技術交流定期化、英語対応ワークショップ、海外作家レジデンスプログラムを確立する。
知見の活用：教育ノウハウは出版・オンライン講座・大学講師派遣へ、デジタルネガ技術は技術ライセンス・コンサルティングへ、暗室運営ノウハウは他施設コンサルティングへ、コミュニティ形成手法はプラットフォーム事業へと展開し、持続可能な成長を実現する。
10年後ビジョン：日本の写真文化を国際水準に引き上げる社会的インフラとして確立する。「日本から再び、世界を驚かせる写真表現が生まれる土壌をつくる」という理念のもと、次世代の作家が古典技法を武器に国際舞台で活躍する基盤を構築する。</t>
    <phoneticPr fontId="41"/>
  </si>
  <si>
    <t>MT-O中野新橋 102号室</t>
    <phoneticPr fontId="41"/>
  </si>
  <si>
    <t>東京都中野区本町5-6-6</t>
    <phoneticPr fontId="41"/>
  </si>
  <si>
    <t>60.32㎡</t>
    <phoneticPr fontId="41"/>
  </si>
  <si>
    <t>株式会社ハイプロファイル</t>
    <phoneticPr fontId="41"/>
  </si>
  <si>
    <t>賃-1</t>
    <phoneticPr fontId="41"/>
  </si>
  <si>
    <t>関連なし</t>
  </si>
  <si>
    <t>ワークショップスペースおよびレンタル暗室制作</t>
    <rPh sb="20" eb="22">
      <t xml:space="preserve">セイサク </t>
    </rPh>
    <phoneticPr fontId="41"/>
  </si>
  <si>
    <t>近隣に東京工芸大学があり、学生の利用者獲得を目指し、卒業後も含めた長期利用者獲得が見込めるから</t>
    <rPh sb="0" eb="2">
      <t xml:space="preserve">キンリン </t>
    </rPh>
    <rPh sb="3" eb="9">
      <t xml:space="preserve">トウキョウコウゲイダイガク </t>
    </rPh>
    <rPh sb="13" eb="15">
      <t xml:space="preserve">ガクセイノ </t>
    </rPh>
    <rPh sb="16" eb="18">
      <t xml:space="preserve">リヨウ </t>
    </rPh>
    <rPh sb="18" eb="19">
      <t xml:space="preserve">シャ </t>
    </rPh>
    <rPh sb="19" eb="21">
      <t xml:space="preserve">カクトクヲメザシ </t>
    </rPh>
    <rPh sb="26" eb="29">
      <t xml:space="preserve">ソツギョウゴモフクメタ </t>
    </rPh>
    <rPh sb="33" eb="38">
      <t xml:space="preserve">チョウキリヨウシャヲ </t>
    </rPh>
    <rPh sb="38" eb="40">
      <t xml:space="preserve">カクトクガ </t>
    </rPh>
    <rPh sb="41" eb="43">
      <t xml:space="preserve">ミコメルカラ </t>
    </rPh>
    <phoneticPr fontId="41"/>
  </si>
  <si>
    <t>猪股良文</t>
    <rPh sb="0" eb="4">
      <t xml:space="preserve">イノマタヨシフミ </t>
    </rPh>
    <phoneticPr fontId="41"/>
  </si>
  <si>
    <t>専-1</t>
    <phoneticPr fontId="41"/>
  </si>
  <si>
    <t>暗室制作における助言および、ワークショップ技術のレクチャーおよび事前テスト・カリキュラム作成</t>
    <rPh sb="0" eb="1">
      <t xml:space="preserve">アンシツセイサクニオケル </t>
    </rPh>
    <rPh sb="8" eb="10">
      <t xml:space="preserve">ジョゲン </t>
    </rPh>
    <rPh sb="32" eb="34">
      <t xml:space="preserve">ジゼンテスト </t>
    </rPh>
    <phoneticPr fontId="41"/>
  </si>
  <si>
    <t>・WS:6回/月×3名/回（充足率50％）×34800円（平均単価）×8ヶ月・レンタル暗室:2500/時間×8時間×3日間××8ヶ月・プリント：65600円（平均単価）×5枚/月×8ヶ月</t>
    <rPh sb="5" eb="6">
      <t xml:space="preserve">カイ </t>
    </rPh>
    <rPh sb="7" eb="8">
      <t xml:space="preserve">ツキ </t>
    </rPh>
    <rPh sb="19" eb="20">
      <t xml:space="preserve">メイ </t>
    </rPh>
    <rPh sb="21" eb="22">
      <t>_x0000__x0005__x0001_</t>
    </rPh>
    <rPh sb="28" eb="29">
      <t>_x0003__x0007__x0001_</t>
    </rPh>
    <rPh sb="30" eb="34">
      <t>_x0006__x0013__x0001_	_x0015__x0001__x000C__x001C_</t>
    </rPh>
    <rPh sb="51" eb="53">
      <t>_x0001__x000F__x001E__x0004_</t>
    </rPh>
    <rPh sb="55" eb="57">
      <t>_x0017_3_x0002__x001B_</t>
    </rPh>
    <rPh sb="59" eb="61">
      <t>7_x0002__x001F_;_x0002_</t>
    </rPh>
    <rPh sb="86" eb="87">
      <t>$V_x0001_'V_x0001_</t>
    </rPh>
    <phoneticPr fontId="41"/>
  </si>
  <si>
    <t>・WS:6回/月 × 4名/回（充足率65%） × ¥34,800 × 12ヶ月・レンタル暗室:2,500/時間 × 8時間 × 8日間 × 12ヶ月・プリント：¥65,600 × 12枚/月 × 12ヶ月・デジタルネガ出力； ¥10,000（平均単価）× 5枚 × 12ヶ月</t>
    <phoneticPr fontId="41"/>
  </si>
  <si>
    <t>・WS:7回/月 × 4.5名/回（充足率75%） × ¥34,800 × 12ヶ月・¥2,500/時間 × 8時間 × 10日間 × 12ヶ月・プリント：¥65,600 ×  23枚/月 × 12ヶ月・デジタルネガ出力； ¥10,000（平均単価）× 10枚 × 12ヶ月</t>
    <phoneticPr fontId="41"/>
  </si>
  <si>
    <t>¥8,115,200（売上）-¥2,028,800（材料費）-¥4,000,000（固定費）-¥840,000（有牛返済・4ヶ月）-¥787,200（久保氏配分）-¥137,760（猪股氏配分）</t>
    <phoneticPr fontId="41"/>
  </si>
  <si>
    <t>¥21,988,800（売上）-¥5,497,200（材料費）-¥6,000,000（固定費・12ヶ月）-¥2,112,000（融資返済・12ヶ月）-¥2,833,920（久保氏配分）-¥1,663,704（猪股氏配分）</t>
    <phoneticPr fontId="41"/>
  </si>
  <si>
    <t>¥34,870,800（売上）-¥8,717,700（材料費）-¥6,000,000（固定費・12ヶ月）-¥1,704,000（融資返済・12ヶ月）-¥2,000,000（暗室シンク設置）-¥1,200,000（アシスタント給与）-¥5,431,680（久保氏配分）-¥2,945,226（猪股氏配分</t>
    <phoneticPr fontId="41"/>
  </si>
  <si>
    <t>¥8,115,200（新規）+¥18,640,000（既存）</t>
    <phoneticPr fontId="41"/>
  </si>
  <si>
    <t>¥21,988,800（新規）+¥18,640,000（既存）</t>
    <phoneticPr fontId="41"/>
  </si>
  <si>
    <t>¥6,872,194（新規事業営業利益）-¥2,230,000（既存事業営業損失）</t>
    <phoneticPr fontId="41"/>
  </si>
  <si>
    <t>¥34,870,800（新規）+¥18,640,000（既存）</t>
    <phoneticPr fontId="41"/>
  </si>
  <si>
    <t>¥321,440（新規事業営業利益）-¥2,230,000（既存事業営業損失）</t>
    <phoneticPr fontId="41"/>
  </si>
  <si>
    <t>¥3,881,976（新規事業営業利益）-¥2,230,000（既存事業営業損失）</t>
    <phoneticPr fontId="41"/>
  </si>
  <si>
    <t>1年目は基本4事業（ワークショップ・レンタル暗室・受注制作・デジタルネガ出力）で基盤を確立し、2年目からコミュニティ事業を本格化する。3年目に暗室1室を増設し、収益源を多角化する。 顧客育成サイクルによるLTV最大化 「無料体験会→入門WS→中級WS→暗室会員→コミュニティ会員」という顧客ライフサイクルを構築し、顧客単価と継続率を向上させる。ワークショップ受講者を暗室会員へ育成することで、安定的な月次収益を確保する。 デジタルマーケティングによる効率的集客 SEO対策で検索上位表示を獲得し、SNS（Instagram/YouTube）での技法解説動画発信により認知度を向上させる。 プレミアム化戦略による高単価維持 日本唯一の総合型ラボという希少価値、業界トップ技術者による指導、独自のデジタルネガ技術により差別化を実現する。品質保証と技術サポートにより高単価を維持する。 固定費最適化とリスク分散 1年目は3名体制（固定費月¥500,000）で開始し、3年目からアシスタント1名を追加する。成果報酬型配分により売上変動リスクに対応し、既存事業との並行運営で安定性を確保する。</t>
    <rPh sb="96" eb="98">
      <t xml:space="preserve">ゾウセツ タカイ イジョウ </t>
    </rPh>
    <phoneticPr fontId="41"/>
  </si>
  <si>
    <t>コロナ前（〜2019年）の状況 市場はデジタル写真全盛でフィルム・暗室施設は減少傾向にあり、古典技法は「一部のマニア向け」という認識であった。若年層はデジタル中心で学習機会も限定的、総合型の常設施設はほぼ不在という状況であった。 
ポストコロナ（2020年〜）の状況と変化 市場の劇的変化: AI画像生成の普及により逆に「手で作る写真」への価値が再認識され、デジタル疲れから物質性への回帰が進んだ。写真アート市場は年率6%成長（2024年78億ドル）、ファインアートプリント市場は年率6.7%成長（2024年21億ドル→2033年38億ドル）を記録し、フィルム販売は2024年「過去数十年で最高」となった。特に2024年11月パリフォトでは古典技法プリントが会場の大部分を占めるほど注目を集めた。 顧客の変化: Z世代・元デジタル作家・キャリアチェンジ層が新規顧客層として出現し、SNSで「学びたい」という声が急増。ワークショップで終わらず継続制作したいというニーズが顕在化した。 競合の変化: 既存施設は体験型中心で継続制作支援は限定的であり、「学んだ後に使える場所」が日本にほぼ不在という市場の空白が明確化。海外では総合型ラボが増加・拡充する一方、日本では施設減少が続き格差が拡大している。 
結論: ポストコロナ期は古典写真技法にとって追い風であり、本取り組みの事業機会は拡大している。</t>
    <phoneticPr fontId="41"/>
  </si>
  <si>
    <t>ｼｭｳ酸鉄(Ⅱ)2H2O（500g)</t>
    <phoneticPr fontId="41"/>
  </si>
  <si>
    <t>ｼｭｳ酸(無水)（500g)</t>
    <phoneticPr fontId="41"/>
  </si>
  <si>
    <t>過酸化水素水(30%)(500ml）</t>
    <phoneticPr fontId="41"/>
  </si>
  <si>
    <t>白金ナトリウム(Na2)</t>
    <phoneticPr fontId="41"/>
  </si>
  <si>
    <t>塩化Pd</t>
    <phoneticPr fontId="41"/>
  </si>
  <si>
    <t>エチレンジアミン四酢酸 二水素ナトリウム二水和物(2NA）（500g)</t>
    <phoneticPr fontId="41"/>
  </si>
  <si>
    <t>AGガード</t>
    <phoneticPr fontId="41"/>
  </si>
  <si>
    <t>エチレンジアミン四酢酸 二水素ナトリウム四水和物(4NA)</t>
    <phoneticPr fontId="41"/>
  </si>
  <si>
    <t>炭酸水素ナトリウム(重曹)</t>
    <phoneticPr fontId="41"/>
  </si>
  <si>
    <t>Tween20(10%)</t>
    <phoneticPr fontId="41"/>
  </si>
  <si>
    <t>耐震ステンレス薬品庫(SUS430・縦型)</t>
    <phoneticPr fontId="41"/>
  </si>
  <si>
    <t>購入</t>
  </si>
  <si>
    <t>防爆冷凍冷蔵庫 LGUEX-1500</t>
    <phoneticPr fontId="41"/>
  </si>
  <si>
    <t xml:space="preserve">フロストドライデシケーター </t>
    <phoneticPr fontId="41"/>
  </si>
  <si>
    <t>分光計-C7000</t>
    <phoneticPr fontId="41"/>
  </si>
  <si>
    <t>雑誌『写真』-Vol.9広告出稿</t>
    <rPh sb="0" eb="5">
      <t xml:space="preserve">ザッシシャシン </t>
    </rPh>
    <rPh sb="12" eb="16">
      <t xml:space="preserve">コウコクシュッコウ </t>
    </rPh>
    <phoneticPr fontId="41"/>
  </si>
  <si>
    <t>雑誌『写真』-Vol.10広告出稿</t>
    <rPh sb="0" eb="5">
      <t xml:space="preserve">ザッシシャシン </t>
    </rPh>
    <rPh sb="13" eb="17">
      <t xml:space="preserve">コウコクシュッコウ </t>
    </rPh>
    <phoneticPr fontId="41"/>
  </si>
  <si>
    <t>アシッドイエロー23(タートラジン)</t>
    <phoneticPr fontId="41"/>
  </si>
  <si>
    <t>アシッドレッド94(ローズベンガル)</t>
    <phoneticPr fontId="41"/>
  </si>
  <si>
    <t>エリスロシン(顕微鏡用)(赤色)</t>
    <phoneticPr fontId="41"/>
  </si>
  <si>
    <t>原-16</t>
    <rPh sb="0" eb="1">
      <t>ゲン</t>
    </rPh>
    <phoneticPr fontId="42"/>
  </si>
  <si>
    <t>原-17</t>
    <rPh sb="0" eb="1">
      <t>ゲン</t>
    </rPh>
    <phoneticPr fontId="42"/>
  </si>
  <si>
    <t>原-18</t>
    <rPh sb="0" eb="1">
      <t>ゲン</t>
    </rPh>
    <phoneticPr fontId="42"/>
  </si>
  <si>
    <t>原-19</t>
    <rPh sb="0" eb="1">
      <t>ゲン</t>
    </rPh>
    <phoneticPr fontId="42"/>
  </si>
  <si>
    <t>マラカイトグリーンシュウ酸塩</t>
    <phoneticPr fontId="41"/>
  </si>
  <si>
    <t>チモール</t>
    <phoneticPr fontId="41"/>
  </si>
  <si>
    <t>アンモニア水(28%)</t>
    <phoneticPr fontId="41"/>
  </si>
  <si>
    <t>原-20</t>
    <rPh sb="0" eb="1">
      <t>ゲン</t>
    </rPh>
    <phoneticPr fontId="42"/>
  </si>
  <si>
    <t>原-21</t>
    <rPh sb="0" eb="1">
      <t>ゲン</t>
    </rPh>
    <phoneticPr fontId="42"/>
  </si>
  <si>
    <t>原-22</t>
    <rPh sb="0" eb="1">
      <t>ゲン</t>
    </rPh>
    <phoneticPr fontId="42"/>
  </si>
  <si>
    <t>原-23</t>
    <rPh sb="0" eb="1">
      <t>ゲン</t>
    </rPh>
    <phoneticPr fontId="42"/>
  </si>
  <si>
    <t>原-24</t>
    <rPh sb="0" eb="1">
      <t>ゲン</t>
    </rPh>
    <phoneticPr fontId="42"/>
  </si>
  <si>
    <t>ヨウ化アンモニウム</t>
    <phoneticPr fontId="41"/>
  </si>
  <si>
    <t>臭化カリウム</t>
    <phoneticPr fontId="41"/>
  </si>
  <si>
    <t>ヨウ化カリウム</t>
    <phoneticPr fontId="41"/>
  </si>
  <si>
    <t>ヨウ化カドミウム</t>
    <phoneticPr fontId="41"/>
  </si>
  <si>
    <t>製版用フィルム（A3ノビ）</t>
    <rPh sb="0" eb="3">
      <t xml:space="preserve">セイハンヨウフィルム </t>
    </rPh>
    <phoneticPr fontId="41"/>
  </si>
  <si>
    <t>製版用フィルム（A4）</t>
    <rPh sb="0" eb="3">
      <t xml:space="preserve">セイハンヨウフィルム </t>
    </rPh>
    <phoneticPr fontId="41"/>
  </si>
  <si>
    <t>デジタルネガ出力用のフィルム</t>
    <phoneticPr fontId="41"/>
  </si>
  <si>
    <t>硫酸鉄(II)七水和物(硫酸第一鉄)(緑)</t>
    <phoneticPr fontId="41"/>
  </si>
  <si>
    <t>エチルエーテル(ジエチルエーテル)</t>
    <phoneticPr fontId="41"/>
  </si>
  <si>
    <t>塩化アンモニウム</t>
    <phoneticPr fontId="41"/>
  </si>
  <si>
    <t>コロジオン(5%)</t>
    <phoneticPr fontId="41"/>
  </si>
  <si>
    <t>臭化カドミウム四水和物</t>
    <phoneticPr fontId="41"/>
  </si>
  <si>
    <t>臭化カドミウム無水</t>
    <phoneticPr fontId="41"/>
  </si>
  <si>
    <t>スピリタス(96%)</t>
    <phoneticPr fontId="41"/>
  </si>
  <si>
    <t>タンニン酸</t>
    <phoneticPr fontId="41"/>
  </si>
  <si>
    <t>L-アスコルビン酸</t>
    <phoneticPr fontId="41"/>
  </si>
  <si>
    <t>亜硫酸ナトリウム(無水)</t>
    <phoneticPr fontId="41"/>
  </si>
  <si>
    <t>塩化金(Ⅲ)酸4水和物（テトラクロロ金(III)酸四水和物）</t>
    <phoneticPr fontId="41"/>
  </si>
  <si>
    <t>塩化ナトリウム(試薬)</t>
    <phoneticPr fontId="41"/>
  </si>
  <si>
    <t>過酸化水素水(35%)</t>
    <phoneticPr fontId="41"/>
  </si>
  <si>
    <t>クエン酸(試薬)</t>
    <phoneticPr fontId="41"/>
  </si>
  <si>
    <t>クエン酸(99.5%)(無水)(食品添加物)</t>
    <phoneticPr fontId="41"/>
  </si>
  <si>
    <t>クエン酸鉄(III)アンモニウム(緑色)</t>
    <phoneticPr fontId="41"/>
  </si>
  <si>
    <t>酢酸(99%)</t>
    <phoneticPr fontId="41"/>
  </si>
  <si>
    <t>酒石酸</t>
    <phoneticPr fontId="41"/>
  </si>
  <si>
    <t>硝酸（1.38）</t>
    <phoneticPr fontId="41"/>
  </si>
  <si>
    <t>食塩</t>
    <phoneticPr fontId="41"/>
  </si>
  <si>
    <t>炭酸ナトリウム(無水)</t>
    <phoneticPr fontId="41"/>
  </si>
  <si>
    <t>チオ硫酸ナトリウム(ハイポ）</t>
    <phoneticPr fontId="41"/>
  </si>
  <si>
    <t>ハイポクリア</t>
    <phoneticPr fontId="41"/>
  </si>
  <si>
    <t>ほう砂(ホウ酸ナトリウム)</t>
    <phoneticPr fontId="41"/>
  </si>
  <si>
    <t>炭酸ナトリウム（アルカリ剤(ナボックス)</t>
    <phoneticPr fontId="41"/>
  </si>
  <si>
    <t>臭素</t>
    <phoneticPr fontId="41"/>
  </si>
  <si>
    <t>ヨウ素</t>
    <phoneticPr fontId="41"/>
  </si>
  <si>
    <t>水銀</t>
    <phoneticPr fontId="41"/>
  </si>
  <si>
    <t>写真暗室専用シンク</t>
    <rPh sb="0" eb="2">
      <t xml:space="preserve">シャシン </t>
    </rPh>
    <rPh sb="2" eb="6">
      <t xml:space="preserve">アンシツセンヨウシンク </t>
    </rPh>
    <phoneticPr fontId="41"/>
  </si>
  <si>
    <t>様々な技法に沿った温度管理や薬品使用に特化した暗室作業専用シンク</t>
    <rPh sb="0" eb="1">
      <t xml:space="preserve">サマザマナ </t>
    </rPh>
    <rPh sb="3" eb="5">
      <t xml:space="preserve">ギホウノソッタ </t>
    </rPh>
    <rPh sb="9" eb="13">
      <t xml:space="preserve">オンドカンリヤ </t>
    </rPh>
    <rPh sb="14" eb="18">
      <t xml:space="preserve">ヤクヒンシヨウニトッカシタ </t>
    </rPh>
    <rPh sb="23" eb="27">
      <t xml:space="preserve">アンシツサギョウニテキシタ </t>
    </rPh>
    <rPh sb="27" eb="29">
      <t xml:space="preserve">センヨウシンク </t>
    </rPh>
    <phoneticPr fontId="41"/>
  </si>
  <si>
    <t>赤血塩(フェリシアン化カリウム)(ヘキサシアニド鉄(III)酸カリウム)</t>
    <phoneticPr fontId="41"/>
  </si>
  <si>
    <t>アマナサルト（株式会社アマナ運営の世界最大級プラチナプリント工房）にてオルタナティブ・プリント制作担当後、アトリエ・シャテーニュにてオルタナティブプロセス・ワークショップを9年間担当</t>
    <phoneticPr fontId="41"/>
  </si>
  <si>
    <t>暗室制作に関する助言およびワークショッププログラムの事前テストおよびカリキュラム作成</t>
    <rPh sb="0" eb="4">
      <t xml:space="preserve">アンシツセイサクオヨビ </t>
    </rPh>
    <rPh sb="8" eb="10">
      <t xml:space="preserve">ジョゲン </t>
    </rPh>
    <rPh sb="26" eb="28">
      <t xml:space="preserve">ジゼンテスト </t>
    </rPh>
    <rPh sb="40" eb="42">
      <t xml:space="preserve">サクセイ </t>
    </rPh>
    <phoneticPr fontId="41"/>
  </si>
  <si>
    <t>令和　8　年　5　月　　～　　令和　8　年　8　月</t>
    <rPh sb="0" eb="2">
      <t>レイワ</t>
    </rPh>
    <rPh sb="5" eb="6">
      <t>ネン</t>
    </rPh>
    <rPh sb="9" eb="10">
      <t>ガツ</t>
    </rPh>
    <rPh sb="15" eb="17">
      <t>レイワ</t>
    </rPh>
    <rPh sb="20" eb="21">
      <t>ネン</t>
    </rPh>
    <rPh sb="24" eb="25">
      <t>ガツ</t>
    </rPh>
    <phoneticPr fontId="50"/>
  </si>
  <si>
    <t>折衝中</t>
  </si>
  <si>
    <t>城南信用金庫</t>
    <rPh sb="0" eb="6">
      <t xml:space="preserve">ジョウナンシンヨウキンコ </t>
    </rPh>
    <phoneticPr fontId="41"/>
  </si>
  <si>
    <t>木下大輔</t>
    <rPh sb="0" eb="4">
      <t xml:space="preserve">キノシタダイスケ </t>
    </rPh>
    <phoneticPr fontId="41"/>
  </si>
  <si>
    <t>調達済</t>
  </si>
  <si>
    <t>ダンマルガム</t>
    <phoneticPr fontId="41"/>
  </si>
  <si>
    <t>カオリン</t>
    <phoneticPr fontId="41"/>
  </si>
  <si>
    <t>硝酸銀(Ⅰ)</t>
    <phoneticPr fontId="41"/>
  </si>
  <si>
    <t xml:space="preserve">設-1			</t>
    <phoneticPr fontId="41"/>
  </si>
  <si>
    <t>写真暗室専用の塩ビシンクの制作実績がある唯一の会社（有限会社豊川写真事務所）であるから</t>
    <rPh sb="0" eb="6">
      <t xml:space="preserve">シャシンアンシツセンヨウシンクノ </t>
    </rPh>
    <rPh sb="7" eb="8">
      <t xml:space="preserve">エンビ </t>
    </rPh>
    <rPh sb="13" eb="15">
      <t xml:space="preserve">セイサク </t>
    </rPh>
    <rPh sb="15" eb="17">
      <t xml:space="preserve">セイゾウジッセキガアル </t>
    </rPh>
    <rPh sb="20" eb="22">
      <t xml:space="preserve">ユイイツノカイシャダカラ </t>
    </rPh>
    <rPh sb="26" eb="30">
      <t xml:space="preserve">ユウゲンガイシャ </t>
    </rPh>
    <rPh sb="30" eb="37">
      <t xml:space="preserve">トヨカワシャシンジムショ </t>
    </rPh>
    <phoneticPr fontId="41"/>
  </si>
  <si>
    <t>2025年12月31日現在、理想とする立地条件に沿った空室物件がここ以外に見つからないため。</t>
    <rPh sb="4" eb="5">
      <t xml:space="preserve">ネン </t>
    </rPh>
    <rPh sb="10" eb="13">
      <t xml:space="preserve">ニチゲンザイ </t>
    </rPh>
    <rPh sb="14" eb="16">
      <t xml:space="preserve">リソウトスル </t>
    </rPh>
    <rPh sb="19" eb="23">
      <t xml:space="preserve">リッチジョウケン </t>
    </rPh>
    <rPh sb="24" eb="25">
      <t xml:space="preserve">ソッタ </t>
    </rPh>
    <rPh sb="27" eb="29">
      <t xml:space="preserve">クウシツ </t>
    </rPh>
    <rPh sb="29" eb="31">
      <t xml:space="preserve">ブッケンガ </t>
    </rPh>
    <phoneticPr fontId="4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</si>
</sst>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176" formatCode="#,##0_ "/>
    <numFmt numFmtId="177" formatCode="#,###.000"/>
    <numFmt numFmtId="178" formatCode="0.E+00"/>
    <numFmt numFmtId="179" formatCode="#,##0;&quot;△ &quot;#,##0"/>
  </numFmts>
  <fonts count="82">
    <font>
      <sz val="11"/>
      <color theme="1"/>
      <name val="游ゴシック"/>
      <family val="2"/>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scheme val="minor"/>
    </font>
    <font>
      <sz val="6"/>
      <name val="游ゴシック"/>
      <family val="3"/>
      <charset val="128"/>
      <scheme val="minor"/>
    </font>
    <font>
      <sz val="6"/>
      <name val="游ゴシック"/>
      <family val="2"/>
      <charset val="128"/>
      <scheme val="minor"/>
    </font>
    <font>
      <b/>
      <sz val="16"/>
      <color theme="1"/>
      <name val="游ゴシック"/>
      <family val="3"/>
      <charset val="128"/>
      <scheme val="minor"/>
    </font>
    <font>
      <sz val="11"/>
      <color theme="1"/>
      <name val="游ゴシック"/>
      <family val="3"/>
      <charset val="128"/>
      <scheme val="minor"/>
    </font>
    <font>
      <sz val="10"/>
      <color theme="1"/>
      <name val="游ゴシック"/>
      <family val="3"/>
      <charset val="128"/>
      <scheme val="minor"/>
    </font>
    <font>
      <sz val="9"/>
      <color theme="1"/>
      <name val="游ゴシック"/>
      <family val="3"/>
      <charset val="128"/>
      <scheme val="minor"/>
    </font>
    <font>
      <b/>
      <sz val="12"/>
      <color theme="1"/>
      <name val="游ゴシック"/>
      <family val="3"/>
      <charset val="128"/>
      <scheme val="minor"/>
    </font>
    <font>
      <sz val="11"/>
      <name val="游ゴシック"/>
      <family val="3"/>
      <charset val="128"/>
      <scheme val="minor"/>
    </font>
    <font>
      <sz val="10"/>
      <color theme="1"/>
      <name val="游ゴシック"/>
      <family val="2"/>
      <charset val="128"/>
      <scheme val="minor"/>
    </font>
    <font>
      <sz val="8"/>
      <color theme="1"/>
      <name val="游ゴシック"/>
      <family val="3"/>
      <charset val="128"/>
      <scheme val="minor"/>
    </font>
    <font>
      <sz val="16"/>
      <color theme="1"/>
      <name val="游ゴシック"/>
      <family val="2"/>
      <charset val="128"/>
      <scheme val="minor"/>
    </font>
    <font>
      <sz val="16"/>
      <color theme="1"/>
      <name val="游ゴシック"/>
      <family val="3"/>
      <charset val="128"/>
      <scheme val="minor"/>
    </font>
    <font>
      <b/>
      <sz val="11"/>
      <color theme="1"/>
      <name val="游ゴシック"/>
      <family val="3"/>
      <charset val="128"/>
      <scheme val="minor"/>
    </font>
    <font>
      <sz val="6"/>
      <name val="ＭＳ Ｐゴシック"/>
      <family val="3"/>
      <charset val="128"/>
    </font>
    <font>
      <sz val="10"/>
      <name val="ＭＳ 明朝"/>
      <family val="1"/>
      <charset val="128"/>
    </font>
    <font>
      <sz val="11"/>
      <name val="ＭＳ 明朝"/>
      <family val="1"/>
      <charset val="128"/>
    </font>
    <font>
      <b/>
      <sz val="14"/>
      <color theme="1"/>
      <name val="游ゴシック"/>
      <family val="3"/>
      <charset val="128"/>
      <scheme val="minor"/>
    </font>
    <font>
      <sz val="12"/>
      <color theme="1"/>
      <name val="游ゴシック"/>
      <family val="3"/>
      <charset val="128"/>
      <scheme val="minor"/>
    </font>
    <font>
      <sz val="10.5"/>
      <color theme="1"/>
      <name val="游ゴシック"/>
      <family val="3"/>
      <charset val="128"/>
      <scheme val="minor"/>
    </font>
    <font>
      <sz val="13"/>
      <name val="游ゴシック"/>
      <family val="3"/>
      <charset val="128"/>
      <scheme val="minor"/>
    </font>
    <font>
      <sz val="10"/>
      <color theme="1"/>
      <name val="游ゴシック"/>
      <family val="2"/>
      <scheme val="minor"/>
    </font>
    <font>
      <sz val="11"/>
      <name val="ＭＳ Ｐゴシック"/>
      <family val="3"/>
      <charset val="128"/>
    </font>
    <font>
      <b/>
      <sz val="18"/>
      <color theme="1"/>
      <name val="游ゴシック"/>
      <family val="3"/>
      <charset val="128"/>
      <scheme val="minor"/>
    </font>
    <font>
      <sz val="11"/>
      <color rgb="FFFF0000"/>
      <name val="游ゴシック"/>
      <family val="2"/>
      <charset val="128"/>
      <scheme val="minor"/>
    </font>
    <font>
      <sz val="11"/>
      <color rgb="FFFF0000"/>
      <name val="游ゴシック"/>
      <family val="3"/>
      <charset val="128"/>
      <scheme val="minor"/>
    </font>
    <font>
      <b/>
      <sz val="12"/>
      <name val="游ゴシック"/>
      <family val="3"/>
      <charset val="128"/>
      <scheme val="minor"/>
    </font>
    <font>
      <b/>
      <u/>
      <sz val="11"/>
      <name val="游ゴシック"/>
      <family val="3"/>
      <charset val="128"/>
      <scheme val="minor"/>
    </font>
    <font>
      <sz val="11"/>
      <name val="游ゴシック"/>
      <family val="2"/>
      <charset val="128"/>
      <scheme val="minor"/>
    </font>
    <font>
      <sz val="10"/>
      <name val="游ゴシック"/>
      <family val="3"/>
      <charset val="128"/>
      <scheme val="minor"/>
    </font>
    <font>
      <sz val="10"/>
      <name val="游ゴシック"/>
      <family val="2"/>
      <charset val="128"/>
      <scheme val="minor"/>
    </font>
    <font>
      <sz val="8"/>
      <name val="游ゴシック"/>
      <family val="3"/>
      <charset val="128"/>
      <scheme val="minor"/>
    </font>
    <font>
      <sz val="8"/>
      <color theme="1"/>
      <name val="游ゴシック"/>
      <family val="2"/>
      <charset val="128"/>
      <scheme val="minor"/>
    </font>
    <font>
      <sz val="8.5"/>
      <color theme="1"/>
      <name val="游ゴシック"/>
      <family val="3"/>
      <charset val="128"/>
      <scheme val="minor"/>
    </font>
    <font>
      <b/>
      <sz val="11"/>
      <color theme="0"/>
      <name val="游ゴシック"/>
      <family val="2"/>
      <charset val="128"/>
      <scheme val="minor"/>
    </font>
    <font>
      <b/>
      <sz val="13"/>
      <color theme="1"/>
      <name val="游ゴシック"/>
      <family val="3"/>
      <charset val="128"/>
      <scheme val="minor"/>
    </font>
    <font>
      <sz val="9"/>
      <color theme="1" tint="0.499984740745262"/>
      <name val="游ゴシック"/>
      <family val="2"/>
      <charset val="128"/>
      <scheme val="minor"/>
    </font>
    <font>
      <sz val="9"/>
      <color theme="1" tint="0.499984740745262"/>
      <name val="游ゴシック"/>
      <family val="3"/>
      <charset val="128"/>
      <scheme val="minor"/>
    </font>
    <font>
      <sz val="8"/>
      <name val="游ゴシック"/>
      <family val="2"/>
      <charset val="128"/>
      <scheme val="minor"/>
    </font>
    <font>
      <sz val="8"/>
      <name val="游ゴシック"/>
      <family val="3"/>
      <charset val="128"/>
    </font>
    <font>
      <sz val="8"/>
      <name val="游ゴシック (本文)"/>
      <family val="3"/>
      <charset val="128"/>
    </font>
    <font>
      <sz val="9"/>
      <name val="游ゴシック"/>
      <family val="3"/>
      <charset val="128"/>
    </font>
  </fonts>
  <fills count="12">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DEBF7"/>
        <bgColor rgb="FF000000"/>
      </patternFill>
    </fill>
  </fills>
  <borders count="81">
    <border>
      <left/>
      <right/>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right style="thin">
        <color auto="1"/>
      </right>
      <top style="hair">
        <color auto="1"/>
      </top>
      <bottom style="hair">
        <color auto="1"/>
      </bottom>
      <diagonal/>
    </border>
    <border>
      <left style="hair">
        <color auto="1"/>
      </left>
      <right style="hair">
        <color auto="1"/>
      </right>
      <top style="hair">
        <color auto="1"/>
      </top>
      <bottom style="thin">
        <color auto="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auto="1"/>
      </left>
      <right/>
      <top/>
      <bottom style="thin">
        <color auto="1"/>
      </bottom>
      <diagonal/>
    </border>
    <border>
      <left style="thin">
        <color auto="1"/>
      </left>
      <right/>
      <top/>
      <bottom/>
      <diagonal/>
    </border>
    <border>
      <left/>
      <right style="hair">
        <color auto="1"/>
      </right>
      <top style="hair">
        <color auto="1"/>
      </top>
      <bottom style="thin">
        <color auto="1"/>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hair">
        <color auto="1"/>
      </top>
      <bottom style="thin">
        <color indexed="64"/>
      </bottom>
      <diagonal/>
    </border>
    <border>
      <left style="thin">
        <color indexed="64"/>
      </left>
      <right style="thin">
        <color indexed="64"/>
      </right>
      <top style="thin">
        <color indexed="64"/>
      </top>
      <bottom/>
      <diagonal/>
    </border>
    <border>
      <left style="hair">
        <color auto="1"/>
      </left>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thin">
        <color indexed="64"/>
      </top>
      <bottom style="thin">
        <color indexed="64"/>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style="hair">
        <color auto="1"/>
      </right>
      <top style="thin">
        <color auto="1"/>
      </top>
      <bottom style="hair">
        <color auto="1"/>
      </bottom>
      <diagonal/>
    </border>
    <border>
      <left/>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hair">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right style="hair">
        <color indexed="64"/>
      </right>
      <top style="thin">
        <color indexed="64"/>
      </top>
      <bottom/>
      <diagonal/>
    </border>
    <border>
      <left/>
      <right style="hair">
        <color indexed="64"/>
      </right>
      <top/>
      <bottom/>
      <diagonal/>
    </border>
    <border>
      <left style="thin">
        <color auto="1"/>
      </left>
      <right/>
      <top style="hair">
        <color auto="1"/>
      </top>
      <bottom/>
      <diagonal/>
    </border>
    <border>
      <left/>
      <right/>
      <top style="hair">
        <color auto="1"/>
      </top>
      <bottom/>
      <diagonal/>
    </border>
    <border>
      <left/>
      <right style="hair">
        <color auto="1"/>
      </right>
      <top style="hair">
        <color auto="1"/>
      </top>
      <bottom/>
      <diagonal/>
    </border>
    <border>
      <left style="thin">
        <color auto="1"/>
      </left>
      <right/>
      <top/>
      <bottom style="hair">
        <color auto="1"/>
      </bottom>
      <diagonal/>
    </border>
    <border>
      <left/>
      <right/>
      <top/>
      <bottom style="hair">
        <color auto="1"/>
      </bottom>
      <diagonal/>
    </border>
    <border>
      <left style="hair">
        <color auto="1"/>
      </left>
      <right/>
      <top style="hair">
        <color auto="1"/>
      </top>
      <bottom/>
      <diagonal/>
    </border>
    <border>
      <left/>
      <right style="thin">
        <color indexed="64"/>
      </right>
      <top style="hair">
        <color indexed="64"/>
      </top>
      <bottom/>
      <diagonal/>
    </border>
    <border>
      <left style="hair">
        <color indexed="64"/>
      </left>
      <right/>
      <top/>
      <bottom/>
      <diagonal/>
    </border>
    <border>
      <left style="hair">
        <color indexed="64"/>
      </left>
      <right/>
      <top/>
      <bottom style="thin">
        <color indexed="64"/>
      </bottom>
      <diagonal/>
    </border>
    <border>
      <left style="hair">
        <color indexed="64"/>
      </left>
      <right/>
      <top style="thin">
        <color auto="1"/>
      </top>
      <bottom/>
      <diagonal/>
    </border>
    <border>
      <left/>
      <right style="hair">
        <color indexed="64"/>
      </right>
      <top/>
      <bottom style="thin">
        <color indexed="64"/>
      </bottom>
      <diagonal/>
    </border>
    <border>
      <left/>
      <right style="thin">
        <color indexed="64"/>
      </right>
      <top/>
      <bottom style="hair">
        <color indexed="64"/>
      </bottom>
      <diagonal/>
    </border>
    <border>
      <left style="hair">
        <color auto="1"/>
      </left>
      <right/>
      <top/>
      <bottom style="hair">
        <color auto="1"/>
      </bottom>
      <diagonal/>
    </border>
    <border>
      <left/>
      <right style="hair">
        <color auto="1"/>
      </right>
      <top/>
      <bottom style="hair">
        <color auto="1"/>
      </bottom>
      <diagonal/>
    </border>
    <border diagonalUp="1">
      <left style="thin">
        <color indexed="64"/>
      </left>
      <right style="thin">
        <color indexed="64"/>
      </right>
      <top style="thin">
        <color indexed="64"/>
      </top>
      <bottom style="thin">
        <color indexed="64"/>
      </bottom>
      <diagonal style="thin">
        <color indexed="64"/>
      </diagonal>
    </border>
    <border>
      <left style="hair">
        <color indexed="64"/>
      </left>
      <right style="thin">
        <color indexed="64"/>
      </right>
      <top style="hair">
        <color indexed="64"/>
      </top>
      <bottom/>
      <diagonal/>
    </border>
    <border>
      <left style="thin">
        <color indexed="64"/>
      </left>
      <right style="hair">
        <color indexed="64"/>
      </right>
      <top style="hair">
        <color indexed="64"/>
      </top>
      <bottom/>
      <diagonal/>
    </border>
    <border>
      <left style="thin">
        <color indexed="64"/>
      </left>
      <right style="hair">
        <color indexed="64"/>
      </right>
      <top/>
      <bottom/>
      <diagonal/>
    </border>
    <border>
      <left style="thin">
        <color indexed="64"/>
      </left>
      <right style="hair">
        <color auto="1"/>
      </right>
      <top/>
      <bottom style="thin">
        <color indexed="64"/>
      </bottom>
      <diagonal/>
    </border>
    <border>
      <left style="thin">
        <color indexed="64"/>
      </left>
      <right style="thin">
        <color indexed="64"/>
      </right>
      <top/>
      <bottom/>
      <diagonal/>
    </border>
    <border>
      <left style="hair">
        <color indexed="64"/>
      </left>
      <right style="thin">
        <color indexed="64"/>
      </right>
      <top style="thin">
        <color indexed="64"/>
      </top>
      <bottom/>
      <diagonal/>
    </border>
    <border>
      <left style="hair">
        <color indexed="64"/>
      </left>
      <right style="thin">
        <color indexed="64"/>
      </right>
      <top/>
      <bottom style="thin">
        <color indexed="64"/>
      </bottom>
      <diagonal/>
    </border>
    <border diagonalUp="1">
      <left style="thin">
        <color indexed="64"/>
      </left>
      <right style="thin">
        <color indexed="64"/>
      </right>
      <top/>
      <bottom/>
      <diagonal style="thin">
        <color indexed="64"/>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hair">
        <color indexed="64"/>
      </right>
      <top style="thin">
        <color indexed="64"/>
      </top>
      <bottom/>
      <diagonal/>
    </border>
    <border>
      <left/>
      <right style="thin">
        <color rgb="FF000000"/>
      </right>
      <top style="thin">
        <color indexed="64"/>
      </top>
      <bottom/>
      <diagonal/>
    </border>
    <border>
      <left/>
      <right style="thin">
        <color rgb="FF000000"/>
      </right>
      <top/>
      <bottom/>
      <diagonal/>
    </border>
    <border>
      <left style="hair">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81">
    <xf numFmtId="0" fontId="0" fillId="0" borderId="0"/>
    <xf numFmtId="0" fontId="39" fillId="0" borderId="0">
      <alignment vertical="center"/>
    </xf>
    <xf numFmtId="0" fontId="39" fillId="0" borderId="0">
      <alignment vertical="center"/>
    </xf>
    <xf numFmtId="0" fontId="38" fillId="0" borderId="0">
      <alignment vertical="center"/>
    </xf>
    <xf numFmtId="0" fontId="38"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4" fillId="0" borderId="0">
      <alignment vertical="center"/>
    </xf>
    <xf numFmtId="0" fontId="34" fillId="0" borderId="0">
      <alignment vertical="center"/>
    </xf>
    <xf numFmtId="0" fontId="33" fillId="0" borderId="0">
      <alignment vertical="center"/>
    </xf>
    <xf numFmtId="0" fontId="44" fillId="0" borderId="0">
      <alignment vertical="center"/>
    </xf>
    <xf numFmtId="0" fontId="40" fillId="0" borderId="0"/>
    <xf numFmtId="0" fontId="32"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7" fillId="0" borderId="0">
      <alignment vertical="center"/>
    </xf>
    <xf numFmtId="38" fontId="40"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9" fontId="40" fillId="0" borderId="0" applyFont="0" applyFill="0" applyBorder="0" applyAlignment="0" applyProtection="0">
      <alignment vertical="center"/>
    </xf>
  </cellStyleXfs>
  <cellXfs count="1111">
    <xf numFmtId="0" fontId="0" fillId="0" borderId="0" xfId="0"/>
    <xf numFmtId="0" fontId="39" fillId="2" borderId="0" xfId="1" applyFill="1">
      <alignment vertical="center"/>
    </xf>
    <xf numFmtId="0" fontId="47" fillId="2" borderId="0" xfId="1" applyFont="1" applyFill="1">
      <alignment vertical="center"/>
    </xf>
    <xf numFmtId="0" fontId="39" fillId="2" borderId="0" xfId="2" applyFill="1">
      <alignment vertical="center"/>
    </xf>
    <xf numFmtId="0" fontId="38" fillId="2" borderId="0" xfId="3" applyFill="1">
      <alignment vertical="center"/>
    </xf>
    <xf numFmtId="0" fontId="38" fillId="2" borderId="34" xfId="3" applyFill="1" applyBorder="1" applyAlignment="1">
      <alignment horizontal="left" vertical="center" wrapText="1"/>
    </xf>
    <xf numFmtId="0" fontId="38" fillId="2" borderId="34" xfId="3" applyFill="1" applyBorder="1" applyAlignment="1">
      <alignment horizontal="center" vertical="center"/>
    </xf>
    <xf numFmtId="0" fontId="44" fillId="2" borderId="19" xfId="3" applyFont="1" applyFill="1" applyBorder="1">
      <alignment vertical="center"/>
    </xf>
    <xf numFmtId="0" fontId="38" fillId="2" borderId="19" xfId="3" applyFill="1" applyBorder="1">
      <alignment vertical="center"/>
    </xf>
    <xf numFmtId="0" fontId="38" fillId="2" borderId="0" xfId="4" applyFill="1">
      <alignment vertical="center"/>
    </xf>
    <xf numFmtId="0" fontId="38" fillId="2" borderId="0" xfId="4" applyFill="1" applyAlignment="1">
      <alignment horizontal="center" vertical="center"/>
    </xf>
    <xf numFmtId="0" fontId="38" fillId="2" borderId="0" xfId="4" applyFill="1" applyAlignment="1">
      <alignment horizontal="left" vertical="center"/>
    </xf>
    <xf numFmtId="0" fontId="39" fillId="2" borderId="0" xfId="2" applyFill="1" applyAlignment="1">
      <alignment horizontal="left" vertical="center"/>
    </xf>
    <xf numFmtId="0" fontId="47" fillId="2" borderId="0" xfId="3" applyFont="1" applyFill="1">
      <alignment vertical="center"/>
    </xf>
    <xf numFmtId="0" fontId="38" fillId="2" borderId="0" xfId="2" applyFont="1" applyFill="1">
      <alignment vertical="center"/>
    </xf>
    <xf numFmtId="0" fontId="38" fillId="2" borderId="0" xfId="1" applyFont="1" applyFill="1">
      <alignment vertical="center"/>
    </xf>
    <xf numFmtId="0" fontId="37" fillId="2" borderId="0" xfId="3" applyFont="1" applyFill="1">
      <alignment vertical="center"/>
    </xf>
    <xf numFmtId="0" fontId="37" fillId="2" borderId="0" xfId="2" applyFont="1" applyFill="1">
      <alignment vertical="center"/>
    </xf>
    <xf numFmtId="0" fontId="39" fillId="4" borderId="20" xfId="1" applyFill="1" applyBorder="1" applyAlignment="1">
      <alignment horizontal="center" vertical="center"/>
    </xf>
    <xf numFmtId="0" fontId="39" fillId="4" borderId="21" xfId="1" applyFill="1" applyBorder="1" applyAlignment="1">
      <alignment horizontal="center" vertical="center"/>
    </xf>
    <xf numFmtId="0" fontId="39" fillId="4" borderId="30" xfId="1" applyFill="1" applyBorder="1" applyAlignment="1">
      <alignment horizontal="center" vertical="center"/>
    </xf>
    <xf numFmtId="0" fontId="49" fillId="4" borderId="5" xfId="3" applyFont="1" applyFill="1" applyBorder="1" applyAlignment="1">
      <alignment horizontal="center" vertical="center" wrapText="1"/>
    </xf>
    <xf numFmtId="0" fontId="38" fillId="4" borderId="7" xfId="3" applyFill="1" applyBorder="1" applyAlignment="1">
      <alignment horizontal="center" vertical="center" wrapText="1"/>
    </xf>
    <xf numFmtId="0" fontId="37" fillId="5" borderId="44" xfId="4" applyFont="1" applyFill="1" applyBorder="1" applyAlignment="1">
      <alignment horizontal="center" vertical="center" wrapText="1"/>
    </xf>
    <xf numFmtId="0" fontId="38" fillId="5" borderId="44" xfId="4" applyFill="1" applyBorder="1" applyAlignment="1">
      <alignment horizontal="center" vertical="center"/>
    </xf>
    <xf numFmtId="0" fontId="38" fillId="5" borderId="8" xfId="4" applyFill="1" applyBorder="1" applyAlignment="1">
      <alignment horizontal="center" vertical="center"/>
    </xf>
    <xf numFmtId="0" fontId="38" fillId="5" borderId="8" xfId="4" applyFill="1" applyBorder="1" applyAlignment="1">
      <alignment horizontal="center" vertical="center" wrapText="1"/>
    </xf>
    <xf numFmtId="0" fontId="38" fillId="5" borderId="40" xfId="4" applyFill="1" applyBorder="1" applyAlignment="1">
      <alignment horizontal="center" vertical="center"/>
    </xf>
    <xf numFmtId="0" fontId="32" fillId="2" borderId="0" xfId="26" applyFill="1">
      <alignment vertical="center"/>
    </xf>
    <xf numFmtId="0" fontId="53" fillId="2" borderId="0" xfId="26" applyFont="1" applyFill="1">
      <alignment vertical="center"/>
    </xf>
    <xf numFmtId="0" fontId="31" fillId="2" borderId="0" xfId="4" applyFont="1" applyFill="1" applyAlignment="1">
      <alignment horizontal="left" vertical="center"/>
    </xf>
    <xf numFmtId="0" fontId="30" fillId="2" borderId="0" xfId="27" applyFill="1">
      <alignment vertical="center"/>
    </xf>
    <xf numFmtId="0" fontId="43" fillId="2" borderId="0" xfId="28" applyFont="1" applyFill="1">
      <alignment vertical="center"/>
    </xf>
    <xf numFmtId="0" fontId="30" fillId="2" borderId="0" xfId="28" applyFill="1">
      <alignment vertical="center"/>
    </xf>
    <xf numFmtId="0" fontId="30" fillId="2" borderId="0" xfId="29" applyFill="1">
      <alignment vertical="center"/>
    </xf>
    <xf numFmtId="0" fontId="47" fillId="2" borderId="0" xfId="29" applyFont="1" applyFill="1">
      <alignment vertical="center"/>
    </xf>
    <xf numFmtId="0" fontId="30" fillId="2" borderId="29" xfId="29" applyFill="1" applyBorder="1">
      <alignment vertical="center"/>
    </xf>
    <xf numFmtId="0" fontId="30" fillId="2" borderId="0" xfId="29" applyFill="1" applyAlignment="1">
      <alignment horizontal="center" vertical="center"/>
    </xf>
    <xf numFmtId="0" fontId="30" fillId="2" borderId="0" xfId="29" applyFill="1" applyAlignment="1">
      <alignment horizontal="left" vertical="center"/>
    </xf>
    <xf numFmtId="0" fontId="47" fillId="2" borderId="0" xfId="30" applyFont="1" applyFill="1" applyAlignment="1"/>
    <xf numFmtId="0" fontId="30" fillId="2" borderId="0" xfId="30" applyFill="1" applyAlignment="1"/>
    <xf numFmtId="0" fontId="30" fillId="2" borderId="0" xfId="30" applyFill="1">
      <alignment vertical="center"/>
    </xf>
    <xf numFmtId="0" fontId="30" fillId="4" borderId="20" xfId="30" applyFill="1" applyBorder="1">
      <alignment vertical="center"/>
    </xf>
    <xf numFmtId="0" fontId="30" fillId="4" borderId="34" xfId="30" applyFill="1" applyBorder="1" applyAlignment="1"/>
    <xf numFmtId="0" fontId="30" fillId="4" borderId="35" xfId="30" applyFill="1" applyBorder="1" applyAlignment="1"/>
    <xf numFmtId="0" fontId="30" fillId="2" borderId="0" xfId="30" applyFill="1" applyAlignment="1">
      <alignment horizontal="center"/>
    </xf>
    <xf numFmtId="0" fontId="30" fillId="2" borderId="0" xfId="30" applyFill="1" applyAlignment="1">
      <alignment horizontal="center" wrapText="1"/>
    </xf>
    <xf numFmtId="0" fontId="30" fillId="4" borderId="31" xfId="29" applyFill="1" applyBorder="1">
      <alignment vertical="center"/>
    </xf>
    <xf numFmtId="0" fontId="30" fillId="4" borderId="32" xfId="29" applyFill="1" applyBorder="1">
      <alignment vertical="center"/>
    </xf>
    <xf numFmtId="0" fontId="30" fillId="2" borderId="19" xfId="30" applyFill="1" applyBorder="1">
      <alignment vertical="center"/>
    </xf>
    <xf numFmtId="0" fontId="57" fillId="2" borderId="0" xfId="27" applyFont="1" applyFill="1">
      <alignment vertical="center"/>
    </xf>
    <xf numFmtId="0" fontId="47" fillId="2" borderId="0" xfId="27" applyFont="1" applyFill="1">
      <alignment vertical="center"/>
    </xf>
    <xf numFmtId="0" fontId="38" fillId="2" borderId="0" xfId="2" applyFont="1" applyFill="1" applyAlignment="1">
      <alignment vertical="center" wrapText="1"/>
    </xf>
    <xf numFmtId="0" fontId="29" fillId="4" borderId="30" xfId="29" applyFont="1" applyFill="1" applyBorder="1">
      <alignment vertical="center"/>
    </xf>
    <xf numFmtId="0" fontId="29" fillId="2" borderId="0" xfId="3" applyFont="1" applyFill="1">
      <alignment vertical="center"/>
    </xf>
    <xf numFmtId="0" fontId="29" fillId="2" borderId="16" xfId="3" applyFont="1" applyFill="1" applyBorder="1" applyAlignment="1">
      <alignment horizontal="right" vertical="center"/>
    </xf>
    <xf numFmtId="0" fontId="29" fillId="2" borderId="60" xfId="3" applyFont="1" applyFill="1" applyBorder="1" applyAlignment="1">
      <alignment horizontal="right" vertical="center"/>
    </xf>
    <xf numFmtId="0" fontId="29" fillId="5" borderId="4" xfId="3" applyFont="1" applyFill="1" applyBorder="1" applyAlignment="1">
      <alignment horizontal="center" vertical="center"/>
    </xf>
    <xf numFmtId="0" fontId="29" fillId="2" borderId="0" xfId="26" applyFont="1" applyFill="1">
      <alignment vertical="center"/>
    </xf>
    <xf numFmtId="0" fontId="37" fillId="2" borderId="22" xfId="3" applyFont="1" applyFill="1" applyBorder="1">
      <alignment vertical="center"/>
    </xf>
    <xf numFmtId="0" fontId="30" fillId="4" borderId="31" xfId="30" applyFill="1" applyBorder="1" applyAlignment="1"/>
    <xf numFmtId="0" fontId="30" fillId="2" borderId="31" xfId="30" applyFill="1" applyBorder="1">
      <alignment vertical="center"/>
    </xf>
    <xf numFmtId="0" fontId="47" fillId="2" borderId="0" xfId="31" applyFont="1" applyFill="1">
      <alignment vertical="center"/>
    </xf>
    <xf numFmtId="0" fontId="58" fillId="2" borderId="0" xfId="31" applyFont="1" applyFill="1">
      <alignment vertical="center"/>
    </xf>
    <xf numFmtId="0" fontId="40" fillId="0" borderId="0" xfId="25"/>
    <xf numFmtId="0" fontId="44" fillId="2" borderId="0" xfId="31" applyFont="1" applyFill="1" applyAlignment="1"/>
    <xf numFmtId="0" fontId="58" fillId="2" borderId="0" xfId="31" applyFont="1" applyFill="1" applyAlignment="1">
      <alignment vertical="center" wrapText="1"/>
    </xf>
    <xf numFmtId="0" fontId="59" fillId="2" borderId="0" xfId="31" applyFont="1" applyFill="1">
      <alignment vertical="center"/>
    </xf>
    <xf numFmtId="0" fontId="59" fillId="2" borderId="0" xfId="31" applyFont="1" applyFill="1" applyAlignment="1">
      <alignment vertical="center" wrapText="1"/>
    </xf>
    <xf numFmtId="0" fontId="44" fillId="2" borderId="0" xfId="31" applyFont="1" applyFill="1">
      <alignment vertical="center"/>
    </xf>
    <xf numFmtId="0" fontId="58" fillId="2" borderId="0" xfId="31" applyFont="1" applyFill="1" applyAlignment="1">
      <alignment horizontal="left" vertical="center"/>
    </xf>
    <xf numFmtId="0" fontId="40" fillId="2" borderId="0" xfId="25" applyFill="1"/>
    <xf numFmtId="0" fontId="59" fillId="4" borderId="21" xfId="31" applyFont="1" applyFill="1" applyBorder="1">
      <alignment vertical="center"/>
    </xf>
    <xf numFmtId="0" fontId="59" fillId="4" borderId="19" xfId="31" applyFont="1" applyFill="1" applyBorder="1">
      <alignment vertical="center"/>
    </xf>
    <xf numFmtId="0" fontId="59" fillId="4" borderId="25" xfId="31" applyFont="1" applyFill="1" applyBorder="1">
      <alignment vertical="center"/>
    </xf>
    <xf numFmtId="0" fontId="59" fillId="4" borderId="19" xfId="31" applyFont="1" applyFill="1" applyBorder="1" applyAlignment="1">
      <alignment vertical="center" wrapText="1"/>
    </xf>
    <xf numFmtId="0" fontId="59" fillId="4" borderId="25" xfId="31" applyFont="1" applyFill="1" applyBorder="1" applyAlignment="1">
      <alignment vertical="center" wrapText="1"/>
    </xf>
    <xf numFmtId="0" fontId="44" fillId="2" borderId="0" xfId="31" applyFont="1" applyFill="1" applyAlignment="1">
      <alignment horizontal="center" vertical="center"/>
    </xf>
    <xf numFmtId="177" fontId="44" fillId="2" borderId="34" xfId="31" applyNumberFormat="1" applyFont="1" applyFill="1" applyBorder="1">
      <alignment vertical="center"/>
    </xf>
    <xf numFmtId="0" fontId="59" fillId="2" borderId="34" xfId="31" applyFont="1" applyFill="1" applyBorder="1">
      <alignment vertical="center"/>
    </xf>
    <xf numFmtId="178" fontId="59" fillId="2" borderId="0" xfId="31" applyNumberFormat="1" applyFont="1" applyFill="1">
      <alignment vertical="center"/>
    </xf>
    <xf numFmtId="0" fontId="44" fillId="2" borderId="0" xfId="31" applyFont="1" applyFill="1" applyAlignment="1">
      <alignment vertical="center" wrapText="1"/>
    </xf>
    <xf numFmtId="0" fontId="59" fillId="2" borderId="0" xfId="31" applyFont="1" applyFill="1" applyAlignment="1">
      <alignment horizontal="center" vertical="center"/>
    </xf>
    <xf numFmtId="0" fontId="44" fillId="2" borderId="34" xfId="31" applyFont="1" applyFill="1" applyBorder="1" applyAlignment="1">
      <alignment vertical="center" shrinkToFit="1"/>
    </xf>
    <xf numFmtId="0" fontId="44" fillId="2" borderId="34" xfId="31" applyFont="1" applyFill="1" applyBorder="1">
      <alignment vertical="center"/>
    </xf>
    <xf numFmtId="0" fontId="59" fillId="2" borderId="0" xfId="31" applyFont="1" applyFill="1" applyAlignment="1">
      <alignment vertical="top"/>
    </xf>
    <xf numFmtId="0" fontId="45" fillId="2" borderId="0" xfId="31" applyFont="1" applyFill="1" applyAlignment="1">
      <alignment vertical="center" wrapText="1"/>
    </xf>
    <xf numFmtId="0" fontId="59" fillId="2" borderId="0" xfId="31" applyFont="1" applyFill="1" applyAlignment="1">
      <alignment horizontal="center" vertical="top"/>
    </xf>
    <xf numFmtId="0" fontId="45" fillId="2" borderId="0" xfId="31" applyFont="1" applyFill="1" applyAlignment="1">
      <alignment horizontal="left" vertical="center" wrapText="1" indent="1"/>
    </xf>
    <xf numFmtId="0" fontId="45" fillId="2" borderId="0" xfId="31" applyFont="1" applyFill="1" applyAlignment="1">
      <alignment vertical="top" wrapText="1"/>
    </xf>
    <xf numFmtId="0" fontId="45" fillId="2" borderId="0" xfId="31" applyFont="1" applyFill="1" applyAlignment="1">
      <alignment vertical="top" wrapText="1" shrinkToFit="1"/>
    </xf>
    <xf numFmtId="0" fontId="27" fillId="2" borderId="0" xfId="33" applyFill="1">
      <alignment vertical="center"/>
    </xf>
    <xf numFmtId="0" fontId="27" fillId="2" borderId="0" xfId="33" applyFill="1" applyAlignment="1">
      <alignment horizontal="center" vertical="center"/>
    </xf>
    <xf numFmtId="0" fontId="47" fillId="2" borderId="0" xfId="35" applyFont="1" applyFill="1">
      <alignment vertical="center"/>
    </xf>
    <xf numFmtId="0" fontId="27" fillId="2" borderId="0" xfId="35" applyFill="1">
      <alignment vertical="center"/>
    </xf>
    <xf numFmtId="0" fontId="53" fillId="2" borderId="0" xfId="35" applyFont="1" applyFill="1">
      <alignment vertical="center"/>
    </xf>
    <xf numFmtId="0" fontId="0" fillId="2" borderId="0" xfId="35" applyFont="1" applyFill="1">
      <alignment vertical="center"/>
    </xf>
    <xf numFmtId="0" fontId="27" fillId="2" borderId="19" xfId="35" applyFill="1" applyBorder="1">
      <alignment vertical="center"/>
    </xf>
    <xf numFmtId="0" fontId="27" fillId="2" borderId="19" xfId="35" applyFill="1" applyBorder="1" applyAlignment="1">
      <alignment horizontal="center" vertical="center"/>
    </xf>
    <xf numFmtId="0" fontId="27" fillId="2" borderId="19" xfId="35" applyFill="1" applyBorder="1" applyAlignment="1">
      <alignment horizontal="right" vertical="center"/>
    </xf>
    <xf numFmtId="0" fontId="53" fillId="2" borderId="0" xfId="36" applyFont="1" applyFill="1">
      <alignment vertical="center"/>
    </xf>
    <xf numFmtId="0" fontId="27" fillId="2" borderId="0" xfId="36" applyFill="1">
      <alignment vertical="center"/>
    </xf>
    <xf numFmtId="0" fontId="0" fillId="2" borderId="0" xfId="36" applyFont="1" applyFill="1">
      <alignment vertical="center"/>
    </xf>
    <xf numFmtId="0" fontId="44" fillId="2" borderId="0" xfId="36" applyFont="1" applyFill="1">
      <alignment vertical="center"/>
    </xf>
    <xf numFmtId="0" fontId="27" fillId="2" borderId="0" xfId="37" applyFill="1">
      <alignment vertical="center"/>
    </xf>
    <xf numFmtId="0" fontId="0" fillId="2" borderId="0" xfId="37" applyFont="1" applyFill="1">
      <alignment vertical="center"/>
    </xf>
    <xf numFmtId="0" fontId="53" fillId="2" borderId="0" xfId="38" applyFont="1" applyFill="1">
      <alignment vertical="center"/>
    </xf>
    <xf numFmtId="0" fontId="27" fillId="2" borderId="0" xfId="38" applyFill="1">
      <alignment vertical="center"/>
    </xf>
    <xf numFmtId="0" fontId="53" fillId="2" borderId="0" xfId="40" applyFont="1" applyFill="1">
      <alignment vertical="center"/>
    </xf>
    <xf numFmtId="0" fontId="64" fillId="2" borderId="0" xfId="35" applyFont="1" applyFill="1">
      <alignment vertical="center"/>
    </xf>
    <xf numFmtId="0" fontId="65" fillId="2" borderId="0" xfId="36" applyFont="1" applyFill="1">
      <alignment vertical="center"/>
    </xf>
    <xf numFmtId="0" fontId="27" fillId="2" borderId="0" xfId="40" applyFill="1">
      <alignment vertical="center"/>
    </xf>
    <xf numFmtId="0" fontId="27" fillId="4" borderId="30" xfId="40" applyFill="1" applyBorder="1">
      <alignment vertical="center"/>
    </xf>
    <xf numFmtId="0" fontId="27" fillId="4" borderId="31" xfId="40" applyFill="1" applyBorder="1">
      <alignment vertical="center"/>
    </xf>
    <xf numFmtId="0" fontId="27" fillId="4" borderId="31" xfId="35" applyFill="1" applyBorder="1">
      <alignment vertical="center"/>
    </xf>
    <xf numFmtId="0" fontId="27" fillId="4" borderId="32" xfId="40" applyFill="1" applyBorder="1">
      <alignment vertical="center"/>
    </xf>
    <xf numFmtId="0" fontId="27" fillId="4" borderId="0" xfId="35" applyFill="1">
      <alignment vertical="center"/>
    </xf>
    <xf numFmtId="0" fontId="27" fillId="4" borderId="19" xfId="40" applyFill="1" applyBorder="1">
      <alignment vertical="center"/>
    </xf>
    <xf numFmtId="0" fontId="27" fillId="4" borderId="34" xfId="40" applyFill="1" applyBorder="1">
      <alignment vertical="center"/>
    </xf>
    <xf numFmtId="0" fontId="27" fillId="4" borderId="35" xfId="40" applyFill="1" applyBorder="1">
      <alignment vertical="center"/>
    </xf>
    <xf numFmtId="0" fontId="27" fillId="4" borderId="21" xfId="40" applyFill="1" applyBorder="1">
      <alignment vertical="center"/>
    </xf>
    <xf numFmtId="0" fontId="27" fillId="4" borderId="25" xfId="40" applyFill="1" applyBorder="1">
      <alignment vertical="center"/>
    </xf>
    <xf numFmtId="0" fontId="27" fillId="4" borderId="19" xfId="35" applyFill="1" applyBorder="1">
      <alignment vertical="center"/>
    </xf>
    <xf numFmtId="0" fontId="53" fillId="2" borderId="0" xfId="41" applyFont="1" applyFill="1">
      <alignment vertical="center"/>
    </xf>
    <xf numFmtId="0" fontId="53" fillId="2" borderId="19" xfId="35" applyFont="1" applyFill="1" applyBorder="1">
      <alignment vertical="center"/>
    </xf>
    <xf numFmtId="0" fontId="53" fillId="2" borderId="0" xfId="33" applyFont="1" applyFill="1">
      <alignment vertical="center"/>
    </xf>
    <xf numFmtId="0" fontId="44" fillId="2" borderId="0" xfId="33" applyFont="1" applyFill="1">
      <alignment vertical="center"/>
    </xf>
    <xf numFmtId="0" fontId="44" fillId="2" borderId="19" xfId="33" applyFont="1" applyFill="1" applyBorder="1">
      <alignment vertical="center"/>
    </xf>
    <xf numFmtId="0" fontId="44" fillId="2" borderId="19" xfId="33" applyFont="1" applyFill="1" applyBorder="1" applyAlignment="1">
      <alignment vertical="center" wrapText="1"/>
    </xf>
    <xf numFmtId="0" fontId="44" fillId="2" borderId="0" xfId="33" applyFont="1" applyFill="1" applyAlignment="1">
      <alignment vertical="center" wrapText="1"/>
    </xf>
    <xf numFmtId="0" fontId="27" fillId="2" borderId="0" xfId="41" applyFill="1">
      <alignment vertical="center"/>
    </xf>
    <xf numFmtId="0" fontId="27" fillId="2" borderId="0" xfId="3" applyFont="1" applyFill="1">
      <alignment vertical="center"/>
    </xf>
    <xf numFmtId="0" fontId="38" fillId="2" borderId="34" xfId="3" applyFill="1" applyBorder="1">
      <alignment vertical="center"/>
    </xf>
    <xf numFmtId="0" fontId="26" fillId="5" borderId="30" xfId="29" applyFont="1" applyFill="1" applyBorder="1">
      <alignment vertical="center"/>
    </xf>
    <xf numFmtId="0" fontId="30" fillId="5" borderId="31" xfId="29" applyFill="1" applyBorder="1">
      <alignment vertical="center"/>
    </xf>
    <xf numFmtId="0" fontId="30" fillId="5" borderId="32" xfId="29" applyFill="1" applyBorder="1">
      <alignment vertical="center"/>
    </xf>
    <xf numFmtId="0" fontId="25" fillId="2" borderId="0" xfId="36" applyFont="1" applyFill="1">
      <alignment vertical="center"/>
    </xf>
    <xf numFmtId="0" fontId="48" fillId="2" borderId="0" xfId="1" applyFont="1" applyFill="1">
      <alignment vertical="center"/>
    </xf>
    <xf numFmtId="0" fontId="48" fillId="4" borderId="18" xfId="1" applyFont="1" applyFill="1" applyBorder="1" applyAlignment="1">
      <alignment horizontal="center" vertical="center"/>
    </xf>
    <xf numFmtId="0" fontId="48" fillId="4" borderId="21" xfId="1" applyFont="1" applyFill="1" applyBorder="1" applyAlignment="1">
      <alignment horizontal="center" vertical="center"/>
    </xf>
    <xf numFmtId="0" fontId="48" fillId="4" borderId="30" xfId="1" applyFont="1" applyFill="1" applyBorder="1" applyAlignment="1">
      <alignment horizontal="center" vertical="center"/>
    </xf>
    <xf numFmtId="0" fontId="48" fillId="4" borderId="27" xfId="1" applyFont="1" applyFill="1" applyBorder="1" applyAlignment="1">
      <alignment horizontal="center" vertical="center"/>
    </xf>
    <xf numFmtId="0" fontId="48" fillId="4" borderId="24" xfId="1" applyFont="1" applyFill="1" applyBorder="1" applyAlignment="1">
      <alignment horizontal="center" vertical="center"/>
    </xf>
    <xf numFmtId="0" fontId="48" fillId="4" borderId="20" xfId="1" applyFont="1" applyFill="1" applyBorder="1" applyAlignment="1">
      <alignment horizontal="center" vertical="center"/>
    </xf>
    <xf numFmtId="0" fontId="48" fillId="5" borderId="27" xfId="2" applyFont="1" applyFill="1" applyBorder="1" applyAlignment="1">
      <alignment horizontal="center" vertical="center" wrapText="1"/>
    </xf>
    <xf numFmtId="0" fontId="48" fillId="5" borderId="18" xfId="2" applyFont="1" applyFill="1" applyBorder="1" applyAlignment="1">
      <alignment horizontal="center" vertical="center" wrapText="1"/>
    </xf>
    <xf numFmtId="0" fontId="48" fillId="4" borderId="0" xfId="2" applyFont="1" applyFill="1" applyAlignment="1">
      <alignment horizontal="center" vertical="center"/>
    </xf>
    <xf numFmtId="0" fontId="69" fillId="2" borderId="33" xfId="2" applyFont="1" applyFill="1" applyBorder="1">
      <alignment vertical="center"/>
    </xf>
    <xf numFmtId="0" fontId="48" fillId="2" borderId="3" xfId="2" applyFont="1" applyFill="1" applyBorder="1">
      <alignment vertical="center"/>
    </xf>
    <xf numFmtId="0" fontId="48" fillId="4" borderId="18" xfId="2" applyFont="1" applyFill="1" applyBorder="1" applyAlignment="1">
      <alignment horizontal="center" vertical="center" wrapText="1"/>
    </xf>
    <xf numFmtId="0" fontId="48" fillId="2" borderId="32" xfId="2" applyFont="1" applyFill="1" applyBorder="1">
      <alignment vertical="center"/>
    </xf>
    <xf numFmtId="0" fontId="48" fillId="4" borderId="18" xfId="2" applyFont="1" applyFill="1" applyBorder="1" applyAlignment="1">
      <alignment horizontal="center" vertical="center"/>
    </xf>
    <xf numFmtId="0" fontId="48" fillId="2" borderId="34" xfId="2" applyFont="1" applyFill="1" applyBorder="1">
      <alignment vertical="center"/>
    </xf>
    <xf numFmtId="0" fontId="66" fillId="2" borderId="0" xfId="2" applyFont="1" applyFill="1">
      <alignment vertical="center"/>
    </xf>
    <xf numFmtId="0" fontId="48" fillId="2" borderId="0" xfId="2" applyFont="1" applyFill="1">
      <alignment vertical="center"/>
    </xf>
    <xf numFmtId="0" fontId="48" fillId="2" borderId="3" xfId="2" applyFont="1" applyFill="1" applyBorder="1" applyAlignment="1">
      <alignment horizontal="center" vertical="center"/>
    </xf>
    <xf numFmtId="0" fontId="48" fillId="2" borderId="31" xfId="29" applyFont="1" applyFill="1" applyBorder="1" applyAlignment="1">
      <alignment horizontal="center" vertical="center" wrapText="1"/>
    </xf>
    <xf numFmtId="0" fontId="48" fillId="2" borderId="19" xfId="29" applyFont="1" applyFill="1" applyBorder="1" applyAlignment="1">
      <alignment horizontal="center" vertical="center" wrapText="1"/>
    </xf>
    <xf numFmtId="0" fontId="48" fillId="2" borderId="19" xfId="29" applyFont="1" applyFill="1" applyBorder="1">
      <alignment vertical="center"/>
    </xf>
    <xf numFmtId="0" fontId="68" fillId="5" borderId="43" xfId="29" applyFont="1" applyFill="1" applyBorder="1">
      <alignment vertical="center"/>
    </xf>
    <xf numFmtId="0" fontId="48" fillId="5" borderId="11" xfId="29" applyFont="1" applyFill="1" applyBorder="1">
      <alignment vertical="center"/>
    </xf>
    <xf numFmtId="0" fontId="48" fillId="5" borderId="16" xfId="29" applyFont="1" applyFill="1" applyBorder="1">
      <alignment vertical="center"/>
    </xf>
    <xf numFmtId="0" fontId="48" fillId="2" borderId="0" xfId="29" applyFont="1" applyFill="1" applyAlignment="1">
      <alignment horizontal="center" vertical="center"/>
    </xf>
    <xf numFmtId="0" fontId="48" fillId="2" borderId="0" xfId="29" applyFont="1" applyFill="1">
      <alignment vertical="center"/>
    </xf>
    <xf numFmtId="0" fontId="66" fillId="2" borderId="0" xfId="30" applyFont="1" applyFill="1">
      <alignment vertical="center"/>
    </xf>
    <xf numFmtId="0" fontId="48" fillId="2" borderId="0" xfId="30" applyFont="1" applyFill="1">
      <alignment vertical="center"/>
    </xf>
    <xf numFmtId="0" fontId="48" fillId="4" borderId="30" xfId="29" applyFont="1" applyFill="1" applyBorder="1">
      <alignment vertical="center"/>
    </xf>
    <xf numFmtId="0" fontId="48" fillId="4" borderId="31" xfId="29" applyFont="1" applyFill="1" applyBorder="1">
      <alignment vertical="center"/>
    </xf>
    <xf numFmtId="0" fontId="48" fillId="4" borderId="32" xfId="29" applyFont="1" applyFill="1" applyBorder="1">
      <alignment vertical="center"/>
    </xf>
    <xf numFmtId="0" fontId="48" fillId="2" borderId="48" xfId="30" applyFont="1" applyFill="1" applyBorder="1" applyAlignment="1">
      <alignment horizontal="right" vertical="center"/>
    </xf>
    <xf numFmtId="0" fontId="48" fillId="2" borderId="12" xfId="30" applyFont="1" applyFill="1" applyBorder="1" applyAlignment="1">
      <alignment horizontal="right" vertical="center"/>
    </xf>
    <xf numFmtId="0" fontId="48" fillId="2" borderId="59" xfId="30" applyFont="1" applyFill="1" applyBorder="1" applyAlignment="1">
      <alignment horizontal="right" vertical="center"/>
    </xf>
    <xf numFmtId="0" fontId="48" fillId="2" borderId="62" xfId="30" applyFont="1" applyFill="1" applyBorder="1" applyAlignment="1">
      <alignment horizontal="right" vertical="center"/>
    </xf>
    <xf numFmtId="0" fontId="48" fillId="2" borderId="23" xfId="30" applyFont="1" applyFill="1" applyBorder="1" applyAlignment="1">
      <alignment horizontal="right" vertical="center"/>
    </xf>
    <xf numFmtId="0" fontId="68" fillId="2" borderId="0" xfId="27" applyFont="1" applyFill="1">
      <alignment vertical="center"/>
    </xf>
    <xf numFmtId="0" fontId="66" fillId="2" borderId="0" xfId="27" applyFont="1" applyFill="1">
      <alignment vertical="center"/>
    </xf>
    <xf numFmtId="0" fontId="62" fillId="8" borderId="18" xfId="34" applyFont="1" applyFill="1" applyBorder="1" applyAlignment="1" applyProtection="1">
      <alignment horizontal="center" vertical="center" wrapText="1"/>
      <protection locked="0"/>
    </xf>
    <xf numFmtId="0" fontId="27" fillId="4" borderId="18" xfId="39" applyFill="1" applyBorder="1">
      <alignment vertical="center"/>
    </xf>
    <xf numFmtId="0" fontId="44" fillId="4" borderId="18" xfId="33" applyFont="1" applyFill="1" applyBorder="1">
      <alignment vertical="center"/>
    </xf>
    <xf numFmtId="0" fontId="48" fillId="2" borderId="0" xfId="2" applyFont="1" applyFill="1" applyAlignment="1">
      <alignment horizontal="left" vertical="center" wrapText="1"/>
    </xf>
    <xf numFmtId="14" fontId="27" fillId="2" borderId="0" xfId="33" applyNumberFormat="1" applyFill="1">
      <alignment vertical="center"/>
    </xf>
    <xf numFmtId="0" fontId="20" fillId="4" borderId="20" xfId="40" applyFont="1" applyFill="1" applyBorder="1">
      <alignment vertical="center"/>
    </xf>
    <xf numFmtId="0" fontId="29" fillId="2" borderId="39" xfId="3" applyFont="1" applyFill="1" applyBorder="1" applyAlignment="1">
      <alignment horizontal="right" vertical="center"/>
    </xf>
    <xf numFmtId="0" fontId="48" fillId="8" borderId="1" xfId="2" applyFont="1" applyFill="1" applyBorder="1" applyAlignment="1" applyProtection="1">
      <alignment horizontal="center" vertical="center"/>
      <protection locked="0"/>
    </xf>
    <xf numFmtId="0" fontId="48" fillId="8" borderId="2" xfId="2" applyFont="1" applyFill="1" applyBorder="1" applyProtection="1">
      <alignment vertical="center"/>
      <protection locked="0"/>
    </xf>
    <xf numFmtId="0" fontId="48" fillId="2" borderId="32" xfId="2" applyFont="1" applyFill="1" applyBorder="1" applyAlignment="1">
      <alignment horizontal="right" vertical="center"/>
    </xf>
    <xf numFmtId="0" fontId="48" fillId="8" borderId="9" xfId="3" applyFont="1" applyFill="1" applyBorder="1" applyAlignment="1" applyProtection="1">
      <alignment horizontal="center" vertical="center"/>
      <protection locked="0"/>
    </xf>
    <xf numFmtId="0" fontId="48" fillId="8" borderId="39" xfId="3" applyFont="1" applyFill="1" applyBorder="1" applyAlignment="1" applyProtection="1">
      <alignment horizontal="center" vertical="center"/>
      <protection locked="0"/>
    </xf>
    <xf numFmtId="0" fontId="68" fillId="8" borderId="9" xfId="3" applyFont="1" applyFill="1" applyBorder="1" applyProtection="1">
      <alignment vertical="center"/>
      <protection locked="0"/>
    </xf>
    <xf numFmtId="0" fontId="48" fillId="8" borderId="9" xfId="3" applyFont="1" applyFill="1" applyBorder="1" applyProtection="1">
      <alignment vertical="center"/>
      <protection locked="0"/>
    </xf>
    <xf numFmtId="0" fontId="48" fillId="8" borderId="17" xfId="3" applyFont="1" applyFill="1" applyBorder="1" applyProtection="1">
      <alignment vertical="center"/>
      <protection locked="0"/>
    </xf>
    <xf numFmtId="0" fontId="48" fillId="0" borderId="12" xfId="3" applyFont="1" applyBorder="1" applyAlignment="1" applyProtection="1">
      <alignment vertical="center" shrinkToFit="1"/>
      <protection locked="0"/>
    </xf>
    <xf numFmtId="0" fontId="48" fillId="0" borderId="23" xfId="3" applyFont="1" applyBorder="1" applyAlignment="1" applyProtection="1">
      <alignment vertical="center" shrinkToFit="1"/>
      <protection locked="0"/>
    </xf>
    <xf numFmtId="0" fontId="53" fillId="2" borderId="0" xfId="1" applyFont="1" applyFill="1">
      <alignment vertical="center"/>
    </xf>
    <xf numFmtId="0" fontId="48" fillId="8" borderId="0" xfId="2" applyFont="1" applyFill="1" applyAlignment="1" applyProtection="1">
      <alignment horizontal="left" vertical="center" wrapText="1"/>
      <protection locked="0"/>
    </xf>
    <xf numFmtId="0" fontId="48" fillId="2" borderId="0" xfId="2" applyFont="1" applyFill="1" applyAlignment="1">
      <alignment horizontal="right" vertical="center"/>
    </xf>
    <xf numFmtId="0" fontId="48" fillId="8" borderId="0" xfId="2" applyFont="1" applyFill="1" applyAlignment="1" applyProtection="1">
      <alignment horizontal="center" vertical="center"/>
      <protection locked="0"/>
    </xf>
    <xf numFmtId="0" fontId="48" fillId="2" borderId="0" xfId="2" applyFont="1" applyFill="1" applyAlignment="1">
      <alignment horizontal="center" vertical="center"/>
    </xf>
    <xf numFmtId="0" fontId="19" fillId="2" borderId="0" xfId="2" applyFont="1" applyFill="1">
      <alignment vertical="center"/>
    </xf>
    <xf numFmtId="0" fontId="68" fillId="8" borderId="9" xfId="3" applyFont="1" applyFill="1" applyBorder="1" applyAlignment="1" applyProtection="1">
      <alignment horizontal="center" vertical="center"/>
      <protection locked="0"/>
    </xf>
    <xf numFmtId="0" fontId="38" fillId="8" borderId="9" xfId="3" applyFill="1" applyBorder="1" applyAlignment="1" applyProtection="1">
      <alignment horizontal="center" vertical="center"/>
      <protection locked="0"/>
    </xf>
    <xf numFmtId="0" fontId="38" fillId="8" borderId="39" xfId="3" applyFill="1" applyBorder="1" applyAlignment="1" applyProtection="1">
      <alignment horizontal="center" vertical="center"/>
      <protection locked="0"/>
    </xf>
    <xf numFmtId="0" fontId="38" fillId="8" borderId="17" xfId="3" applyFill="1" applyBorder="1" applyAlignment="1" applyProtection="1">
      <alignment horizontal="center" vertical="center"/>
      <protection locked="0"/>
    </xf>
    <xf numFmtId="0" fontId="38" fillId="8" borderId="64" xfId="3" applyFill="1" applyBorder="1" applyAlignment="1" applyProtection="1">
      <alignment horizontal="center" vertical="center"/>
      <protection locked="0"/>
    </xf>
    <xf numFmtId="0" fontId="72" fillId="2" borderId="0" xfId="33" applyFont="1" applyFill="1" applyAlignment="1"/>
    <xf numFmtId="0" fontId="68" fillId="2" borderId="0" xfId="35" applyFont="1" applyFill="1">
      <alignment vertical="center"/>
    </xf>
    <xf numFmtId="0" fontId="17" fillId="2" borderId="0" xfId="26" applyFont="1" applyFill="1">
      <alignment vertical="center"/>
    </xf>
    <xf numFmtId="0" fontId="48" fillId="0" borderId="18" xfId="1" applyFont="1" applyBorder="1" applyAlignment="1">
      <alignment horizontal="center" vertical="center"/>
    </xf>
    <xf numFmtId="0" fontId="16" fillId="4" borderId="21" xfId="1" applyFont="1" applyFill="1" applyBorder="1" applyAlignment="1">
      <alignment horizontal="center" vertical="center"/>
    </xf>
    <xf numFmtId="0" fontId="59" fillId="4" borderId="0" xfId="31" applyFont="1" applyFill="1" applyAlignment="1">
      <alignment vertical="center" wrapText="1"/>
    </xf>
    <xf numFmtId="0" fontId="59" fillId="4" borderId="29" xfId="31" applyFont="1" applyFill="1" applyBorder="1" applyAlignment="1">
      <alignment vertical="center" wrapText="1"/>
    </xf>
    <xf numFmtId="0" fontId="47" fillId="2" borderId="0" xfId="2" applyFont="1" applyFill="1">
      <alignment vertical="center"/>
    </xf>
    <xf numFmtId="0" fontId="48" fillId="4" borderId="4" xfId="2" applyFont="1" applyFill="1" applyBorder="1" applyAlignment="1">
      <alignment horizontal="center" vertical="center"/>
    </xf>
    <xf numFmtId="0" fontId="48" fillId="4" borderId="5" xfId="2" applyFont="1" applyFill="1" applyBorder="1" applyAlignment="1">
      <alignment horizontal="center" vertical="center"/>
    </xf>
    <xf numFmtId="0" fontId="48" fillId="4" borderId="8" xfId="2" applyFont="1" applyFill="1" applyBorder="1" applyAlignment="1">
      <alignment horizontal="center" vertical="center"/>
    </xf>
    <xf numFmtId="176" fontId="48" fillId="8" borderId="9" xfId="2" applyNumberFormat="1" applyFont="1" applyFill="1" applyBorder="1" applyProtection="1">
      <alignment vertical="center"/>
      <protection locked="0"/>
    </xf>
    <xf numFmtId="10" fontId="48" fillId="8" borderId="0" xfId="80" applyNumberFormat="1" applyFont="1" applyFill="1" applyBorder="1" applyAlignment="1" applyProtection="1">
      <alignment horizontal="center" vertical="center"/>
      <protection locked="0"/>
    </xf>
    <xf numFmtId="10" fontId="48" fillId="8" borderId="0" xfId="2" applyNumberFormat="1" applyFont="1" applyFill="1" applyAlignment="1" applyProtection="1">
      <alignment horizontal="center" vertical="center"/>
      <protection locked="0"/>
    </xf>
    <xf numFmtId="176" fontId="48" fillId="2" borderId="17" xfId="2" applyNumberFormat="1" applyFont="1" applyFill="1" applyBorder="1" applyProtection="1">
      <alignment vertical="center"/>
      <protection locked="0"/>
    </xf>
    <xf numFmtId="0" fontId="48" fillId="2" borderId="0" xfId="2" applyFont="1" applyFill="1" applyAlignment="1" applyProtection="1">
      <alignment horizontal="center" vertical="center"/>
      <protection locked="0"/>
    </xf>
    <xf numFmtId="0" fontId="53" fillId="2" borderId="0" xfId="35" applyFont="1" applyFill="1" applyAlignment="1">
      <alignment horizontal="right" vertical="center"/>
    </xf>
    <xf numFmtId="0" fontId="12" fillId="2" borderId="0" xfId="37" applyFont="1" applyFill="1">
      <alignment vertical="center"/>
    </xf>
    <xf numFmtId="0" fontId="12" fillId="2" borderId="0" xfId="35" applyFont="1" applyFill="1">
      <alignment vertical="center"/>
    </xf>
    <xf numFmtId="0" fontId="27" fillId="0" borderId="0" xfId="35">
      <alignment vertical="center"/>
    </xf>
    <xf numFmtId="179" fontId="53" fillId="2" borderId="0" xfId="35" applyNumberFormat="1" applyFont="1" applyFill="1">
      <alignment vertical="center"/>
    </xf>
    <xf numFmtId="0" fontId="47" fillId="2" borderId="0" xfId="33" applyFont="1" applyFill="1" applyAlignment="1"/>
    <xf numFmtId="0" fontId="27" fillId="2" borderId="0" xfId="33" applyFill="1" applyAlignment="1"/>
    <xf numFmtId="0" fontId="45" fillId="2" borderId="0" xfId="31" applyFont="1" applyFill="1" applyAlignment="1">
      <alignment horizontal="left"/>
    </xf>
    <xf numFmtId="0" fontId="38" fillId="9" borderId="0" xfId="3" applyFill="1">
      <alignment vertical="center"/>
    </xf>
    <xf numFmtId="0" fontId="11" fillId="2" borderId="39" xfId="3" applyFont="1" applyFill="1" applyBorder="1" applyAlignment="1">
      <alignment horizontal="right" vertical="center"/>
    </xf>
    <xf numFmtId="0" fontId="11" fillId="2" borderId="60" xfId="3" applyFont="1" applyFill="1" applyBorder="1" applyAlignment="1">
      <alignment horizontal="right" vertical="center"/>
    </xf>
    <xf numFmtId="0" fontId="0" fillId="0" borderId="18" xfId="25" applyFont="1" applyBorder="1" applyAlignment="1">
      <alignment horizontal="center" vertical="center"/>
    </xf>
    <xf numFmtId="12" fontId="40" fillId="0" borderId="18" xfId="25" applyNumberFormat="1" applyBorder="1" applyAlignment="1">
      <alignment horizontal="center" vertical="center"/>
    </xf>
    <xf numFmtId="0" fontId="40" fillId="0" borderId="18" xfId="25" applyBorder="1" applyAlignment="1">
      <alignment horizontal="left" vertical="center"/>
    </xf>
    <xf numFmtId="0" fontId="0" fillId="0" borderId="18" xfId="25" applyFont="1" applyBorder="1" applyAlignment="1">
      <alignment horizontal="left" vertical="center" shrinkToFit="1"/>
    </xf>
    <xf numFmtId="0" fontId="40" fillId="0" borderId="0" xfId="25" applyAlignment="1">
      <alignment horizontal="center"/>
    </xf>
    <xf numFmtId="0" fontId="40" fillId="2" borderId="0" xfId="25" applyFill="1" applyAlignment="1">
      <alignment horizontal="center"/>
    </xf>
    <xf numFmtId="0" fontId="29" fillId="2" borderId="29" xfId="3" applyFont="1" applyFill="1" applyBorder="1" applyAlignment="1">
      <alignment horizontal="right" vertical="center"/>
    </xf>
    <xf numFmtId="0" fontId="11" fillId="2" borderId="29" xfId="3" applyFont="1" applyFill="1" applyBorder="1" applyAlignment="1">
      <alignment horizontal="right" vertical="center"/>
    </xf>
    <xf numFmtId="0" fontId="9" fillId="4" borderId="30" xfId="29" applyFont="1" applyFill="1" applyBorder="1">
      <alignment vertical="center"/>
    </xf>
    <xf numFmtId="0" fontId="7" fillId="2" borderId="0" xfId="26" applyFont="1" applyFill="1">
      <alignment vertical="center"/>
    </xf>
    <xf numFmtId="0" fontId="66" fillId="0" borderId="0" xfId="27" applyFont="1">
      <alignment vertical="center"/>
    </xf>
    <xf numFmtId="0" fontId="47" fillId="0" borderId="0" xfId="27" applyFont="1">
      <alignment vertical="center"/>
    </xf>
    <xf numFmtId="0" fontId="30" fillId="0" borderId="0" xfId="27">
      <alignment vertical="center"/>
    </xf>
    <xf numFmtId="0" fontId="6" fillId="2" borderId="60" xfId="3" applyFont="1" applyFill="1" applyBorder="1" applyAlignment="1">
      <alignment horizontal="right" vertical="center"/>
    </xf>
    <xf numFmtId="0" fontId="6" fillId="2" borderId="0" xfId="3" applyFont="1" applyFill="1">
      <alignment vertical="center"/>
    </xf>
    <xf numFmtId="0" fontId="48" fillId="0" borderId="0" xfId="3" applyFont="1">
      <alignment vertical="center"/>
    </xf>
    <xf numFmtId="0" fontId="0" fillId="0" borderId="0" xfId="0" applyAlignment="1">
      <alignment vertical="center"/>
    </xf>
    <xf numFmtId="0" fontId="0" fillId="9" borderId="0" xfId="0" applyFill="1" applyAlignment="1">
      <alignment vertical="center"/>
    </xf>
    <xf numFmtId="0" fontId="0" fillId="10" borderId="0" xfId="0" applyFill="1" applyAlignment="1">
      <alignment vertical="center"/>
    </xf>
    <xf numFmtId="0" fontId="48" fillId="8" borderId="9" xfId="2" applyFont="1" applyFill="1" applyBorder="1" applyAlignment="1" applyProtection="1">
      <alignment horizontal="center" vertical="center"/>
      <protection locked="0"/>
    </xf>
    <xf numFmtId="0" fontId="27" fillId="8" borderId="30" xfId="33" applyFill="1" applyBorder="1" applyAlignment="1" applyProtection="1">
      <alignment horizontal="center" vertical="center"/>
      <protection locked="0"/>
    </xf>
    <xf numFmtId="0" fontId="27" fillId="8" borderId="31" xfId="33" applyFill="1" applyBorder="1" applyAlignment="1" applyProtection="1">
      <alignment horizontal="center" vertical="center"/>
      <protection locked="0"/>
    </xf>
    <xf numFmtId="0" fontId="5" fillId="8" borderId="31" xfId="33" applyFont="1" applyFill="1" applyBorder="1" applyAlignment="1" applyProtection="1">
      <alignment horizontal="center" vertical="center"/>
      <protection locked="0"/>
    </xf>
    <xf numFmtId="0" fontId="27" fillId="8" borderId="32" xfId="33" applyFill="1" applyBorder="1" applyAlignment="1" applyProtection="1">
      <alignment horizontal="center" vertical="center"/>
      <protection locked="0"/>
    </xf>
    <xf numFmtId="0" fontId="27" fillId="8" borderId="18" xfId="33" applyFill="1" applyBorder="1" applyAlignment="1" applyProtection="1">
      <alignment horizontal="center" vertical="center"/>
      <protection locked="0"/>
    </xf>
    <xf numFmtId="0" fontId="27" fillId="4" borderId="18" xfId="33" applyFill="1" applyBorder="1" applyAlignment="1" applyProtection="1">
      <alignment horizontal="center" vertical="center"/>
      <protection locked="0"/>
    </xf>
    <xf numFmtId="58" fontId="48" fillId="8" borderId="18" xfId="1" applyNumberFormat="1" applyFont="1" applyFill="1" applyBorder="1" applyAlignment="1" applyProtection="1">
      <alignment horizontal="center" vertical="center" wrapText="1"/>
      <protection locked="0"/>
    </xf>
    <xf numFmtId="0" fontId="48" fillId="8" borderId="24" xfId="1" applyFont="1" applyFill="1" applyBorder="1" applyProtection="1">
      <alignment vertical="center"/>
      <protection locked="0"/>
    </xf>
    <xf numFmtId="0" fontId="48" fillId="8" borderId="18" xfId="1" applyFont="1" applyFill="1" applyBorder="1" applyProtection="1">
      <alignment vertical="center"/>
      <protection locked="0"/>
    </xf>
    <xf numFmtId="0" fontId="4" fillId="2" borderId="0" xfId="3" applyFont="1" applyFill="1">
      <alignment vertical="center"/>
    </xf>
    <xf numFmtId="0" fontId="76" fillId="2" borderId="0" xfId="26" applyFont="1" applyFill="1">
      <alignment vertical="center"/>
    </xf>
    <xf numFmtId="0" fontId="3" fillId="2" borderId="0" xfId="4" applyFont="1" applyFill="1">
      <alignment vertical="center"/>
    </xf>
    <xf numFmtId="58" fontId="32" fillId="8" borderId="30" xfId="26" applyNumberFormat="1" applyFill="1" applyBorder="1" applyAlignment="1" applyProtection="1">
      <alignment horizontal="center" vertical="center"/>
      <protection locked="0"/>
    </xf>
    <xf numFmtId="58" fontId="32" fillId="8" borderId="31" xfId="26" applyNumberFormat="1" applyFill="1" applyBorder="1" applyAlignment="1" applyProtection="1">
      <alignment horizontal="center" vertical="center"/>
      <protection locked="0"/>
    </xf>
    <xf numFmtId="58" fontId="32" fillId="8" borderId="32" xfId="26" applyNumberFormat="1" applyFill="1" applyBorder="1" applyAlignment="1" applyProtection="1">
      <alignment horizontal="center" vertical="center"/>
      <protection locked="0"/>
    </xf>
    <xf numFmtId="0" fontId="12" fillId="2" borderId="49" xfId="26" applyFont="1" applyFill="1" applyBorder="1" applyAlignment="1">
      <alignment horizontal="center" vertical="center" wrapText="1"/>
    </xf>
    <xf numFmtId="0" fontId="32" fillId="2" borderId="50" xfId="26" applyFill="1" applyBorder="1" applyAlignment="1">
      <alignment horizontal="center" vertical="center" wrapText="1"/>
    </xf>
    <xf numFmtId="0" fontId="32" fillId="2" borderId="51" xfId="26" applyFill="1" applyBorder="1" applyAlignment="1">
      <alignment horizontal="center" vertical="center" wrapText="1"/>
    </xf>
    <xf numFmtId="0" fontId="32" fillId="2" borderId="52" xfId="26" applyFill="1" applyBorder="1" applyAlignment="1">
      <alignment horizontal="center" vertical="center" wrapText="1"/>
    </xf>
    <xf numFmtId="0" fontId="32" fillId="2" borderId="53" xfId="26" applyFill="1" applyBorder="1" applyAlignment="1">
      <alignment horizontal="center" vertical="center" wrapText="1"/>
    </xf>
    <xf numFmtId="0" fontId="32" fillId="2" borderId="62" xfId="26" applyFill="1" applyBorder="1" applyAlignment="1">
      <alignment horizontal="center" vertical="center" wrapText="1"/>
    </xf>
    <xf numFmtId="0" fontId="68" fillId="8" borderId="54" xfId="26" applyFont="1" applyFill="1" applyBorder="1" applyAlignment="1" applyProtection="1">
      <alignment horizontal="center" vertical="center" wrapText="1"/>
      <protection locked="0"/>
    </xf>
    <xf numFmtId="0" fontId="68" fillId="8" borderId="50" xfId="26" applyFont="1" applyFill="1" applyBorder="1" applyAlignment="1" applyProtection="1">
      <alignment horizontal="center" vertical="center" wrapText="1"/>
      <protection locked="0"/>
    </xf>
    <xf numFmtId="0" fontId="68" fillId="8" borderId="55" xfId="26" applyFont="1" applyFill="1" applyBorder="1" applyAlignment="1" applyProtection="1">
      <alignment horizontal="center" vertical="center" wrapText="1"/>
      <protection locked="0"/>
    </xf>
    <xf numFmtId="0" fontId="68" fillId="8" borderId="61" xfId="26" applyFont="1" applyFill="1" applyBorder="1" applyAlignment="1" applyProtection="1">
      <alignment horizontal="center" vertical="center" wrapText="1"/>
      <protection locked="0"/>
    </xf>
    <xf numFmtId="0" fontId="68" fillId="8" borderId="53" xfId="26" applyFont="1" applyFill="1" applyBorder="1" applyAlignment="1" applyProtection="1">
      <alignment horizontal="center" vertical="center" wrapText="1"/>
      <protection locked="0"/>
    </xf>
    <xf numFmtId="0" fontId="68" fillId="8" borderId="60" xfId="26" applyFont="1" applyFill="1" applyBorder="1" applyAlignment="1" applyProtection="1">
      <alignment horizontal="center" vertical="center" wrapText="1"/>
      <protection locked="0"/>
    </xf>
    <xf numFmtId="0" fontId="32" fillId="2" borderId="22" xfId="26" applyFill="1" applyBorder="1" applyAlignment="1">
      <alignment horizontal="center" vertical="center"/>
    </xf>
    <xf numFmtId="0" fontId="32" fillId="2" borderId="0" xfId="26" applyFill="1" applyAlignment="1">
      <alignment horizontal="center" vertical="center"/>
    </xf>
    <xf numFmtId="0" fontId="48" fillId="8" borderId="50" xfId="26" applyFont="1" applyFill="1" applyBorder="1" applyAlignment="1" applyProtection="1">
      <alignment horizontal="center" vertical="center" wrapText="1"/>
      <protection locked="0"/>
    </xf>
    <xf numFmtId="0" fontId="48" fillId="8" borderId="55" xfId="26" applyFont="1" applyFill="1" applyBorder="1" applyAlignment="1" applyProtection="1">
      <alignment horizontal="center" vertical="center" wrapText="1"/>
      <protection locked="0"/>
    </xf>
    <xf numFmtId="0" fontId="48" fillId="8" borderId="61" xfId="26" applyFont="1" applyFill="1" applyBorder="1" applyAlignment="1" applyProtection="1">
      <alignment horizontal="center" vertical="center" wrapText="1"/>
      <protection locked="0"/>
    </xf>
    <xf numFmtId="0" fontId="48" fillId="8" borderId="53" xfId="26" applyFont="1" applyFill="1" applyBorder="1" applyAlignment="1" applyProtection="1">
      <alignment horizontal="center" vertical="center" wrapText="1"/>
      <protection locked="0"/>
    </xf>
    <xf numFmtId="0" fontId="48" fillId="8" borderId="60" xfId="26" applyFont="1" applyFill="1" applyBorder="1" applyAlignment="1" applyProtection="1">
      <alignment horizontal="center" vertical="center" wrapText="1"/>
      <protection locked="0"/>
    </xf>
    <xf numFmtId="0" fontId="64" fillId="2" borderId="34" xfId="26" applyFont="1" applyFill="1" applyBorder="1" applyAlignment="1">
      <alignment horizontal="center" vertical="center" shrinkToFit="1"/>
    </xf>
    <xf numFmtId="0" fontId="65" fillId="2" borderId="34" xfId="26" applyFont="1" applyFill="1" applyBorder="1" applyAlignment="1">
      <alignment horizontal="center" vertical="center" shrinkToFit="1"/>
    </xf>
    <xf numFmtId="0" fontId="75" fillId="2" borderId="0" xfId="26" applyFont="1" applyFill="1" applyAlignment="1">
      <alignment horizontal="center" vertical="center" wrapText="1"/>
    </xf>
    <xf numFmtId="0" fontId="75" fillId="2" borderId="0" xfId="26" applyFont="1" applyFill="1" applyAlignment="1">
      <alignment horizontal="center" vertical="center"/>
    </xf>
    <xf numFmtId="176" fontId="68" fillId="2" borderId="20" xfId="26" applyNumberFormat="1" applyFont="1" applyFill="1" applyBorder="1" applyAlignment="1">
      <alignment horizontal="right" vertical="center"/>
    </xf>
    <xf numFmtId="176" fontId="68" fillId="2" borderId="34" xfId="26" applyNumberFormat="1" applyFont="1" applyFill="1" applyBorder="1" applyAlignment="1">
      <alignment horizontal="right" vertical="center"/>
    </xf>
    <xf numFmtId="176" fontId="68" fillId="2" borderId="35" xfId="26" applyNumberFormat="1" applyFont="1" applyFill="1" applyBorder="1" applyAlignment="1">
      <alignment horizontal="right" vertical="center"/>
    </xf>
    <xf numFmtId="176" fontId="68" fillId="2" borderId="21" xfId="26" applyNumberFormat="1" applyFont="1" applyFill="1" applyBorder="1" applyAlignment="1">
      <alignment horizontal="right" vertical="center"/>
    </xf>
    <xf numFmtId="176" fontId="68" fillId="2" borderId="19" xfId="26" applyNumberFormat="1" applyFont="1" applyFill="1" applyBorder="1" applyAlignment="1">
      <alignment horizontal="right" vertical="center"/>
    </xf>
    <xf numFmtId="176" fontId="68" fillId="2" borderId="25" xfId="26" applyNumberFormat="1" applyFont="1" applyFill="1" applyBorder="1" applyAlignment="1">
      <alignment horizontal="right" vertical="center"/>
    </xf>
    <xf numFmtId="0" fontId="53" fillId="2" borderId="0" xfId="26" applyFont="1" applyFill="1" applyAlignment="1">
      <alignment horizontal="center" vertical="center"/>
    </xf>
    <xf numFmtId="0" fontId="5" fillId="8" borderId="18" xfId="26" applyFont="1" applyFill="1" applyBorder="1" applyAlignment="1" applyProtection="1">
      <alignment horizontal="center" vertical="center" shrinkToFit="1"/>
      <protection locked="0"/>
    </xf>
    <xf numFmtId="0" fontId="23" fillId="8" borderId="18" xfId="26" applyFont="1" applyFill="1" applyBorder="1" applyAlignment="1" applyProtection="1">
      <alignment horizontal="center" vertical="center" shrinkToFit="1"/>
      <protection locked="0"/>
    </xf>
    <xf numFmtId="0" fontId="12" fillId="2" borderId="36" xfId="26" applyFont="1" applyFill="1" applyBorder="1" applyAlignment="1">
      <alignment horizontal="center" vertical="center"/>
    </xf>
    <xf numFmtId="0" fontId="12" fillId="2" borderId="38" xfId="26" applyFont="1" applyFill="1" applyBorder="1" applyAlignment="1">
      <alignment horizontal="center" vertical="center"/>
    </xf>
    <xf numFmtId="0" fontId="12" fillId="2" borderId="37" xfId="26" applyFont="1" applyFill="1" applyBorder="1" applyAlignment="1">
      <alignment horizontal="center" vertical="center"/>
    </xf>
    <xf numFmtId="0" fontId="12" fillId="2" borderId="52" xfId="26" applyFont="1" applyFill="1" applyBorder="1" applyAlignment="1">
      <alignment horizontal="center" vertical="center"/>
    </xf>
    <xf numFmtId="0" fontId="12" fillId="2" borderId="53" xfId="26" applyFont="1" applyFill="1" applyBorder="1" applyAlignment="1">
      <alignment horizontal="center" vertical="center"/>
    </xf>
    <xf numFmtId="0" fontId="12" fillId="2" borderId="62" xfId="26" applyFont="1" applyFill="1" applyBorder="1" applyAlignment="1">
      <alignment horizontal="center" vertical="center"/>
    </xf>
    <xf numFmtId="0" fontId="68" fillId="8" borderId="6" xfId="26" applyFont="1" applyFill="1" applyBorder="1" applyAlignment="1" applyProtection="1">
      <alignment horizontal="center" vertical="center"/>
      <protection locked="0"/>
    </xf>
    <xf numFmtId="0" fontId="68" fillId="8" borderId="38" xfId="26" applyFont="1" applyFill="1" applyBorder="1" applyAlignment="1" applyProtection="1">
      <alignment horizontal="center" vertical="center"/>
      <protection locked="0"/>
    </xf>
    <xf numFmtId="0" fontId="68" fillId="8" borderId="42" xfId="26" applyFont="1" applyFill="1" applyBorder="1" applyAlignment="1" applyProtection="1">
      <alignment horizontal="center" vertical="center"/>
      <protection locked="0"/>
    </xf>
    <xf numFmtId="0" fontId="68" fillId="8" borderId="10" xfId="26" applyFont="1" applyFill="1" applyBorder="1" applyAlignment="1" applyProtection="1">
      <alignment horizontal="center" vertical="center" shrinkToFit="1"/>
      <protection locked="0"/>
    </xf>
    <xf numFmtId="0" fontId="68" fillId="8" borderId="11" xfId="26" applyFont="1" applyFill="1" applyBorder="1" applyAlignment="1" applyProtection="1">
      <alignment horizontal="center" vertical="center" shrinkToFit="1"/>
      <protection locked="0"/>
    </xf>
    <xf numFmtId="0" fontId="68" fillId="8" borderId="16" xfId="26" applyFont="1" applyFill="1" applyBorder="1" applyAlignment="1" applyProtection="1">
      <alignment horizontal="center" vertical="center" shrinkToFit="1"/>
      <protection locked="0"/>
    </xf>
    <xf numFmtId="0" fontId="32" fillId="2" borderId="49" xfId="26" applyFill="1" applyBorder="1" applyAlignment="1">
      <alignment horizontal="center" vertical="center"/>
    </xf>
    <xf numFmtId="0" fontId="32" fillId="2" borderId="50" xfId="26" applyFill="1" applyBorder="1" applyAlignment="1">
      <alignment horizontal="center" vertical="center"/>
    </xf>
    <xf numFmtId="0" fontId="32" fillId="2" borderId="51" xfId="26" applyFill="1" applyBorder="1" applyAlignment="1">
      <alignment horizontal="center" vertical="center"/>
    </xf>
    <xf numFmtId="0" fontId="32" fillId="2" borderId="21" xfId="26" applyFill="1" applyBorder="1" applyAlignment="1">
      <alignment horizontal="center" vertical="center"/>
    </xf>
    <xf numFmtId="0" fontId="32" fillId="2" borderId="19" xfId="26" applyFill="1" applyBorder="1" applyAlignment="1">
      <alignment horizontal="center" vertical="center"/>
    </xf>
    <xf numFmtId="0" fontId="32" fillId="2" borderId="59" xfId="26" applyFill="1" applyBorder="1" applyAlignment="1">
      <alignment horizontal="center" vertical="center"/>
    </xf>
    <xf numFmtId="0" fontId="32" fillId="2" borderId="10" xfId="26" applyFill="1" applyBorder="1" applyAlignment="1">
      <alignment horizontal="center" vertical="center"/>
    </xf>
    <xf numFmtId="0" fontId="32" fillId="2" borderId="11" xfId="26" applyFill="1" applyBorder="1" applyAlignment="1">
      <alignment horizontal="center" vertical="center"/>
    </xf>
    <xf numFmtId="0" fontId="68" fillId="8" borderId="10" xfId="26" applyFont="1" applyFill="1" applyBorder="1" applyAlignment="1" applyProtection="1">
      <alignment horizontal="center" vertical="center"/>
      <protection locked="0"/>
    </xf>
    <xf numFmtId="0" fontId="48" fillId="8" borderId="11" xfId="26" applyFont="1" applyFill="1" applyBorder="1" applyAlignment="1" applyProtection="1">
      <alignment horizontal="center" vertical="center"/>
      <protection locked="0"/>
    </xf>
    <xf numFmtId="0" fontId="48" fillId="8" borderId="16" xfId="26" applyFont="1" applyFill="1" applyBorder="1" applyAlignment="1" applyProtection="1">
      <alignment horizontal="center" vertical="center"/>
      <protection locked="0"/>
    </xf>
    <xf numFmtId="0" fontId="32" fillId="2" borderId="13" xfId="26" applyFill="1" applyBorder="1" applyAlignment="1">
      <alignment horizontal="center" vertical="center"/>
    </xf>
    <xf numFmtId="0" fontId="32" fillId="2" borderId="14" xfId="26" applyFill="1" applyBorder="1" applyAlignment="1">
      <alignment horizontal="center" vertical="center"/>
    </xf>
    <xf numFmtId="0" fontId="48" fillId="8" borderId="13" xfId="26" applyFont="1" applyFill="1" applyBorder="1" applyAlignment="1" applyProtection="1">
      <alignment horizontal="center" vertical="center"/>
      <protection locked="0"/>
    </xf>
    <xf numFmtId="0" fontId="48" fillId="8" borderId="14" xfId="26" applyFont="1" applyFill="1" applyBorder="1" applyAlignment="1" applyProtection="1">
      <alignment horizontal="center" vertical="center"/>
      <protection locked="0"/>
    </xf>
    <xf numFmtId="0" fontId="48" fillId="8" borderId="15" xfId="26" applyFont="1" applyFill="1" applyBorder="1" applyAlignment="1" applyProtection="1">
      <alignment horizontal="center" vertical="center"/>
      <protection locked="0"/>
    </xf>
    <xf numFmtId="0" fontId="63" fillId="2" borderId="0" xfId="1" applyFont="1" applyFill="1" applyAlignment="1">
      <alignment horizontal="center" vertical="center"/>
    </xf>
    <xf numFmtId="0" fontId="48" fillId="8" borderId="31" xfId="1" applyFont="1" applyFill="1" applyBorder="1" applyAlignment="1" applyProtection="1">
      <alignment horizontal="center" vertical="center"/>
      <protection locked="0"/>
    </xf>
    <xf numFmtId="0" fontId="48" fillId="8" borderId="32" xfId="1" applyFont="1" applyFill="1" applyBorder="1" applyAlignment="1" applyProtection="1">
      <alignment horizontal="center" vertical="center"/>
      <protection locked="0"/>
    </xf>
    <xf numFmtId="0" fontId="48" fillId="8" borderId="20" xfId="1" applyFont="1" applyFill="1" applyBorder="1" applyAlignment="1" applyProtection="1">
      <alignment horizontal="center" vertical="center"/>
      <protection locked="0"/>
    </xf>
    <xf numFmtId="0" fontId="48" fillId="8" borderId="34" xfId="1" applyFont="1" applyFill="1" applyBorder="1" applyAlignment="1" applyProtection="1">
      <alignment horizontal="center" vertical="center"/>
      <protection locked="0"/>
    </xf>
    <xf numFmtId="0" fontId="48" fillId="8" borderId="35" xfId="1" applyFont="1" applyFill="1" applyBorder="1" applyAlignment="1" applyProtection="1">
      <alignment horizontal="center" vertical="center"/>
      <protection locked="0"/>
    </xf>
    <xf numFmtId="0" fontId="48" fillId="8" borderId="30" xfId="1" applyFont="1" applyFill="1" applyBorder="1" applyAlignment="1" applyProtection="1">
      <alignment horizontal="center" vertical="center"/>
      <protection locked="0"/>
    </xf>
    <xf numFmtId="0" fontId="48" fillId="0" borderId="30" xfId="1" applyFont="1" applyBorder="1" applyAlignment="1">
      <alignment horizontal="center" vertical="center"/>
    </xf>
    <xf numFmtId="0" fontId="48" fillId="0" borderId="31" xfId="1" applyFont="1" applyBorder="1" applyAlignment="1">
      <alignment horizontal="center" vertical="center"/>
    </xf>
    <xf numFmtId="0" fontId="48" fillId="0" borderId="32" xfId="1" applyFont="1" applyBorder="1" applyAlignment="1">
      <alignment horizontal="center" vertical="center"/>
    </xf>
    <xf numFmtId="0" fontId="48" fillId="8" borderId="30" xfId="1" applyFont="1" applyFill="1" applyBorder="1" applyAlignment="1" applyProtection="1">
      <alignment horizontal="left" vertical="center"/>
      <protection locked="0"/>
    </xf>
    <xf numFmtId="0" fontId="48" fillId="8" borderId="31" xfId="1" applyFont="1" applyFill="1" applyBorder="1" applyAlignment="1" applyProtection="1">
      <alignment horizontal="left" vertical="center"/>
      <protection locked="0"/>
    </xf>
    <xf numFmtId="0" fontId="48" fillId="8" borderId="32" xfId="1" applyFont="1" applyFill="1" applyBorder="1" applyAlignment="1" applyProtection="1">
      <alignment horizontal="left" vertical="center"/>
      <protection locked="0"/>
    </xf>
    <xf numFmtId="0" fontId="68" fillId="4" borderId="30" xfId="1" applyFont="1" applyFill="1" applyBorder="1" applyAlignment="1">
      <alignment horizontal="center" vertical="center"/>
    </xf>
    <xf numFmtId="0" fontId="68" fillId="4" borderId="32" xfId="1" applyFont="1" applyFill="1" applyBorder="1" applyAlignment="1">
      <alignment horizontal="center" vertical="center"/>
    </xf>
    <xf numFmtId="0" fontId="48" fillId="4" borderId="30" xfId="1" applyFont="1" applyFill="1" applyBorder="1" applyAlignment="1">
      <alignment horizontal="center" vertical="center"/>
    </xf>
    <xf numFmtId="0" fontId="48" fillId="4" borderId="32" xfId="1" applyFont="1" applyFill="1" applyBorder="1" applyAlignment="1">
      <alignment horizontal="center" vertical="center"/>
    </xf>
    <xf numFmtId="0" fontId="48" fillId="4" borderId="30" xfId="1" applyFont="1" applyFill="1" applyBorder="1" applyAlignment="1">
      <alignment horizontal="center" vertical="center" wrapText="1"/>
    </xf>
    <xf numFmtId="0" fontId="48" fillId="4" borderId="32" xfId="1" applyFont="1" applyFill="1" applyBorder="1" applyAlignment="1">
      <alignment horizontal="center" vertical="center" wrapText="1"/>
    </xf>
    <xf numFmtId="0" fontId="48" fillId="0" borderId="20" xfId="1" applyFont="1" applyBorder="1" applyAlignment="1">
      <alignment horizontal="center" vertical="center"/>
    </xf>
    <xf numFmtId="0" fontId="48" fillId="0" borderId="34" xfId="1" applyFont="1" applyBorder="1" applyAlignment="1">
      <alignment horizontal="center" vertical="center"/>
    </xf>
    <xf numFmtId="0" fontId="48" fillId="0" borderId="35" xfId="1" applyFont="1" applyBorder="1" applyAlignment="1">
      <alignment horizontal="center" vertical="center"/>
    </xf>
    <xf numFmtId="0" fontId="48" fillId="0" borderId="21" xfId="1" applyFont="1" applyBorder="1" applyAlignment="1">
      <alignment horizontal="center" vertical="center"/>
    </xf>
    <xf numFmtId="0" fontId="48" fillId="0" borderId="19" xfId="1" applyFont="1" applyBorder="1" applyAlignment="1">
      <alignment horizontal="center" vertical="center"/>
    </xf>
    <xf numFmtId="0" fontId="48" fillId="0" borderId="25" xfId="1" applyFont="1" applyBorder="1" applyAlignment="1">
      <alignment horizontal="center" vertical="center"/>
    </xf>
    <xf numFmtId="0" fontId="39" fillId="4" borderId="1" xfId="1" applyFill="1" applyBorder="1" applyAlignment="1">
      <alignment horizontal="center" vertical="center" wrapText="1"/>
    </xf>
    <xf numFmtId="0" fontId="39" fillId="4" borderId="2" xfId="1" applyFill="1" applyBorder="1" applyAlignment="1">
      <alignment horizontal="center" vertical="center" wrapText="1"/>
    </xf>
    <xf numFmtId="0" fontId="39" fillId="4" borderId="20" xfId="1" applyFill="1" applyBorder="1" applyAlignment="1">
      <alignment horizontal="center" vertical="center" wrapText="1"/>
    </xf>
    <xf numFmtId="0" fontId="39" fillId="4" borderId="22" xfId="1" applyFill="1" applyBorder="1" applyAlignment="1">
      <alignment horizontal="center" vertical="center" wrapText="1"/>
    </xf>
    <xf numFmtId="0" fontId="39" fillId="4" borderId="21" xfId="1" applyFill="1" applyBorder="1" applyAlignment="1">
      <alignment horizontal="center" vertical="center" wrapText="1"/>
    </xf>
    <xf numFmtId="0" fontId="48" fillId="4" borderId="22" xfId="1" applyFont="1" applyFill="1" applyBorder="1" applyAlignment="1">
      <alignment horizontal="center" vertical="center"/>
    </xf>
    <xf numFmtId="0" fontId="48" fillId="4" borderId="21" xfId="1" applyFont="1" applyFill="1" applyBorder="1" applyAlignment="1">
      <alignment horizontal="center" vertical="center"/>
    </xf>
    <xf numFmtId="0" fontId="48" fillId="8" borderId="22" xfId="1" applyFont="1" applyFill="1" applyBorder="1" applyAlignment="1" applyProtection="1">
      <alignment horizontal="center" vertical="center"/>
      <protection locked="0"/>
    </xf>
    <xf numFmtId="0" fontId="48" fillId="8" borderId="0" xfId="1" applyFont="1" applyFill="1" applyAlignment="1" applyProtection="1">
      <alignment horizontal="center" vertical="center"/>
      <protection locked="0"/>
    </xf>
    <xf numFmtId="0" fontId="48" fillId="8" borderId="29" xfId="1" applyFont="1" applyFill="1" applyBorder="1" applyAlignment="1" applyProtection="1">
      <alignment horizontal="center" vertical="center"/>
      <protection locked="0"/>
    </xf>
    <xf numFmtId="0" fontId="48" fillId="8" borderId="21" xfId="1" applyFont="1" applyFill="1" applyBorder="1" applyAlignment="1" applyProtection="1">
      <alignment horizontal="center" vertical="center"/>
      <protection locked="0"/>
    </xf>
    <xf numFmtId="0" fontId="48" fillId="8" borderId="19" xfId="1" applyFont="1" applyFill="1" applyBorder="1" applyAlignment="1" applyProtection="1">
      <alignment horizontal="center" vertical="center"/>
      <protection locked="0"/>
    </xf>
    <xf numFmtId="0" fontId="48" fillId="8" borderId="25" xfId="1" applyFont="1" applyFill="1" applyBorder="1" applyAlignment="1" applyProtection="1">
      <alignment horizontal="center" vertical="center"/>
      <protection locked="0"/>
    </xf>
    <xf numFmtId="0" fontId="39" fillId="4" borderId="27" xfId="1" applyFill="1" applyBorder="1" applyAlignment="1">
      <alignment horizontal="center" vertical="center" wrapText="1"/>
    </xf>
    <xf numFmtId="0" fontId="39" fillId="4" borderId="24" xfId="1" applyFill="1" applyBorder="1" applyAlignment="1">
      <alignment horizontal="center" vertical="center" wrapText="1"/>
    </xf>
    <xf numFmtId="0" fontId="68" fillId="8" borderId="30" xfId="1" applyFont="1" applyFill="1" applyBorder="1" applyAlignment="1" applyProtection="1">
      <alignment horizontal="center" vertical="center"/>
      <protection locked="0"/>
    </xf>
    <xf numFmtId="0" fontId="68" fillId="8" borderId="31" xfId="1" applyFont="1" applyFill="1" applyBorder="1" applyAlignment="1" applyProtection="1">
      <alignment horizontal="center" vertical="center"/>
      <protection locked="0"/>
    </xf>
    <xf numFmtId="0" fontId="68" fillId="8" borderId="32" xfId="1" applyFont="1" applyFill="1" applyBorder="1" applyAlignment="1" applyProtection="1">
      <alignment horizontal="center" vertical="center"/>
      <protection locked="0"/>
    </xf>
    <xf numFmtId="0" fontId="20" fillId="4" borderId="20" xfId="1" applyFont="1" applyFill="1" applyBorder="1" applyAlignment="1">
      <alignment horizontal="center" vertical="center" wrapText="1"/>
    </xf>
    <xf numFmtId="0" fontId="39" fillId="4" borderId="22" xfId="1" applyFill="1" applyBorder="1" applyAlignment="1">
      <alignment horizontal="center" vertical="center"/>
    </xf>
    <xf numFmtId="0" fontId="39" fillId="4" borderId="21" xfId="1" applyFill="1" applyBorder="1" applyAlignment="1">
      <alignment horizontal="center" vertical="center"/>
    </xf>
    <xf numFmtId="0" fontId="51" fillId="0" borderId="2" xfId="1" applyFont="1" applyBorder="1" applyAlignment="1">
      <alignment horizontal="center" vertical="center"/>
    </xf>
    <xf numFmtId="0" fontId="52" fillId="0" borderId="3" xfId="1" applyFont="1" applyBorder="1" applyAlignment="1">
      <alignment horizontal="center" vertical="center"/>
    </xf>
    <xf numFmtId="0" fontId="48" fillId="8" borderId="34" xfId="1" applyFont="1" applyFill="1" applyBorder="1" applyAlignment="1" applyProtection="1">
      <alignment horizontal="left" vertical="center"/>
      <protection locked="0"/>
    </xf>
    <xf numFmtId="0" fontId="48" fillId="8" borderId="35" xfId="1" applyFont="1" applyFill="1" applyBorder="1" applyAlignment="1" applyProtection="1">
      <alignment horizontal="left" vertical="center"/>
      <protection locked="0"/>
    </xf>
    <xf numFmtId="58" fontId="48" fillId="8" borderId="34" xfId="1" applyNumberFormat="1" applyFont="1" applyFill="1" applyBorder="1" applyAlignment="1" applyProtection="1">
      <alignment horizontal="center" vertical="center"/>
      <protection locked="0"/>
    </xf>
    <xf numFmtId="58" fontId="48" fillId="8" borderId="35" xfId="1" applyNumberFormat="1" applyFont="1" applyFill="1" applyBorder="1" applyAlignment="1" applyProtection="1">
      <alignment horizontal="center" vertical="center"/>
      <protection locked="0"/>
    </xf>
    <xf numFmtId="0" fontId="48" fillId="4" borderId="20" xfId="1" applyFont="1" applyFill="1" applyBorder="1" applyAlignment="1">
      <alignment horizontal="center" vertical="center" wrapText="1"/>
    </xf>
    <xf numFmtId="0" fontId="48" fillId="4" borderId="21" xfId="1" applyFont="1" applyFill="1" applyBorder="1" applyAlignment="1">
      <alignment horizontal="center" vertical="center" wrapText="1"/>
    </xf>
    <xf numFmtId="0" fontId="39" fillId="4" borderId="20" xfId="1" applyFill="1" applyBorder="1" applyAlignment="1">
      <alignment horizontal="center" vertical="center"/>
    </xf>
    <xf numFmtId="0" fontId="48" fillId="4" borderId="27" xfId="2" applyFont="1" applyFill="1" applyBorder="1" applyAlignment="1">
      <alignment horizontal="center" vertical="center"/>
    </xf>
    <xf numFmtId="0" fontId="48" fillId="4" borderId="24" xfId="2" applyFont="1" applyFill="1" applyBorder="1" applyAlignment="1">
      <alignment horizontal="center" vertical="center"/>
    </xf>
    <xf numFmtId="0" fontId="48" fillId="4" borderId="30" xfId="2" applyFont="1" applyFill="1" applyBorder="1" applyAlignment="1">
      <alignment horizontal="center" vertical="center"/>
    </xf>
    <xf numFmtId="0" fontId="48" fillId="4" borderId="31" xfId="2" applyFont="1" applyFill="1" applyBorder="1" applyAlignment="1">
      <alignment horizontal="center" vertical="center"/>
    </xf>
    <xf numFmtId="0" fontId="48" fillId="4" borderId="32" xfId="2" applyFont="1" applyFill="1" applyBorder="1" applyAlignment="1">
      <alignment horizontal="center" vertical="center"/>
    </xf>
    <xf numFmtId="0" fontId="48" fillId="8" borderId="30" xfId="2" applyFont="1" applyFill="1" applyBorder="1" applyAlignment="1" applyProtection="1">
      <alignment horizontal="center" vertical="center"/>
      <protection locked="0"/>
    </xf>
    <xf numFmtId="0" fontId="48" fillId="8" borderId="32" xfId="2" applyFont="1" applyFill="1" applyBorder="1" applyAlignment="1" applyProtection="1">
      <alignment horizontal="center" vertical="center"/>
      <protection locked="0"/>
    </xf>
    <xf numFmtId="0" fontId="48" fillId="2" borderId="31" xfId="2" applyFont="1" applyFill="1" applyBorder="1" applyAlignment="1">
      <alignment horizontal="center" vertical="center"/>
    </xf>
    <xf numFmtId="0" fontId="48" fillId="2" borderId="32" xfId="2" applyFont="1" applyFill="1" applyBorder="1" applyAlignment="1">
      <alignment horizontal="center" vertical="center"/>
    </xf>
    <xf numFmtId="0" fontId="48" fillId="8" borderId="31" xfId="2" applyFont="1" applyFill="1" applyBorder="1" applyAlignment="1" applyProtection="1">
      <alignment horizontal="center" vertical="center"/>
      <protection locked="0"/>
    </xf>
    <xf numFmtId="0" fontId="48" fillId="8" borderId="33" xfId="2" applyFont="1" applyFill="1" applyBorder="1" applyAlignment="1" applyProtection="1">
      <alignment horizontal="center" vertical="center"/>
      <protection locked="0"/>
    </xf>
    <xf numFmtId="0" fontId="68" fillId="4" borderId="20" xfId="2" applyFont="1" applyFill="1" applyBorder="1" applyAlignment="1">
      <alignment horizontal="center" vertical="center"/>
    </xf>
    <xf numFmtId="0" fontId="48" fillId="4" borderId="35" xfId="2" applyFont="1" applyFill="1" applyBorder="1" applyAlignment="1">
      <alignment horizontal="center" vertical="center"/>
    </xf>
    <xf numFmtId="0" fontId="48" fillId="4" borderId="21" xfId="2" applyFont="1" applyFill="1" applyBorder="1" applyAlignment="1">
      <alignment horizontal="center" vertical="center"/>
    </xf>
    <xf numFmtId="0" fontId="48" fillId="4" borderId="25" xfId="2" applyFont="1" applyFill="1" applyBorder="1" applyAlignment="1">
      <alignment horizontal="center" vertical="center"/>
    </xf>
    <xf numFmtId="58" fontId="48" fillId="8" borderId="30" xfId="2" applyNumberFormat="1" applyFont="1" applyFill="1" applyBorder="1" applyAlignment="1" applyProtection="1">
      <alignment horizontal="center" vertical="center"/>
      <protection locked="0"/>
    </xf>
    <xf numFmtId="58" fontId="48" fillId="8" borderId="31" xfId="2" applyNumberFormat="1" applyFont="1" applyFill="1" applyBorder="1" applyAlignment="1" applyProtection="1">
      <alignment horizontal="center" vertical="center"/>
      <protection locked="0"/>
    </xf>
    <xf numFmtId="58" fontId="48" fillId="8" borderId="32" xfId="2" applyNumberFormat="1" applyFont="1" applyFill="1" applyBorder="1" applyAlignment="1" applyProtection="1">
      <alignment horizontal="center" vertical="center"/>
      <protection locked="0"/>
    </xf>
    <xf numFmtId="0" fontId="48" fillId="8" borderId="30" xfId="2" applyFont="1" applyFill="1" applyBorder="1" applyAlignment="1" applyProtection="1">
      <alignment horizontal="center" vertical="center" wrapText="1"/>
      <protection locked="0"/>
    </xf>
    <xf numFmtId="0" fontId="48" fillId="8" borderId="32" xfId="2" applyFont="1" applyFill="1" applyBorder="1" applyAlignment="1" applyProtection="1">
      <alignment horizontal="center" vertical="center" wrapText="1"/>
      <protection locked="0"/>
    </xf>
    <xf numFmtId="0" fontId="48" fillId="8" borderId="30" xfId="2" applyFont="1" applyFill="1" applyBorder="1" applyAlignment="1" applyProtection="1">
      <alignment horizontal="left" vertical="center" wrapText="1"/>
      <protection locked="0"/>
    </xf>
    <xf numFmtId="0" fontId="48" fillId="8" borderId="31" xfId="2" applyFont="1" applyFill="1" applyBorder="1" applyAlignment="1" applyProtection="1">
      <alignment horizontal="left" vertical="center" wrapText="1"/>
      <protection locked="0"/>
    </xf>
    <xf numFmtId="0" fontId="48" fillId="8" borderId="32" xfId="2" applyFont="1" applyFill="1" applyBorder="1" applyAlignment="1" applyProtection="1">
      <alignment horizontal="left" vertical="center" wrapText="1"/>
      <protection locked="0"/>
    </xf>
    <xf numFmtId="176" fontId="48" fillId="8" borderId="20" xfId="2" applyNumberFormat="1" applyFont="1" applyFill="1" applyBorder="1" applyAlignment="1" applyProtection="1">
      <alignment horizontal="center" vertical="center"/>
      <protection locked="0"/>
    </xf>
    <xf numFmtId="176" fontId="48" fillId="8" borderId="34" xfId="2" applyNumberFormat="1" applyFont="1" applyFill="1" applyBorder="1" applyAlignment="1" applyProtection="1">
      <alignment horizontal="center" vertical="center"/>
      <protection locked="0"/>
    </xf>
    <xf numFmtId="176" fontId="48" fillId="8" borderId="47" xfId="2" applyNumberFormat="1" applyFont="1" applyFill="1" applyBorder="1" applyAlignment="1" applyProtection="1">
      <alignment horizontal="center" vertical="center"/>
      <protection locked="0"/>
    </xf>
    <xf numFmtId="176" fontId="48" fillId="8" borderId="21" xfId="2" applyNumberFormat="1" applyFont="1" applyFill="1" applyBorder="1" applyAlignment="1" applyProtection="1">
      <alignment horizontal="center" vertical="center"/>
      <protection locked="0"/>
    </xf>
    <xf numFmtId="176" fontId="48" fillId="8" borderId="19" xfId="2" applyNumberFormat="1" applyFont="1" applyFill="1" applyBorder="1" applyAlignment="1" applyProtection="1">
      <alignment horizontal="center" vertical="center"/>
      <protection locked="0"/>
    </xf>
    <xf numFmtId="176" fontId="48" fillId="8" borderId="59" xfId="2" applyNumberFormat="1" applyFont="1" applyFill="1" applyBorder="1" applyAlignment="1" applyProtection="1">
      <alignment horizontal="center" vertical="center"/>
      <protection locked="0"/>
    </xf>
    <xf numFmtId="0" fontId="48" fillId="2" borderId="69" xfId="2" applyFont="1" applyFill="1" applyBorder="1" applyAlignment="1">
      <alignment horizontal="left" vertical="center"/>
    </xf>
    <xf numFmtId="0" fontId="48" fillId="2" borderId="70" xfId="2" applyFont="1" applyFill="1" applyBorder="1" applyAlignment="1">
      <alignment horizontal="left" vertical="center"/>
    </xf>
    <xf numFmtId="0" fontId="48" fillId="4" borderId="20" xfId="2" applyFont="1" applyFill="1" applyBorder="1" applyAlignment="1">
      <alignment horizontal="center" vertical="center" wrapText="1"/>
    </xf>
    <xf numFmtId="0" fontId="48" fillId="4" borderId="35" xfId="2" applyFont="1" applyFill="1" applyBorder="1" applyAlignment="1">
      <alignment horizontal="center" vertical="center" wrapText="1"/>
    </xf>
    <xf numFmtId="0" fontId="48" fillId="4" borderId="34" xfId="2" applyFont="1" applyFill="1" applyBorder="1" applyAlignment="1">
      <alignment horizontal="center" vertical="center" wrapText="1"/>
    </xf>
    <xf numFmtId="0" fontId="48" fillId="8" borderId="28" xfId="2" applyFont="1" applyFill="1" applyBorder="1" applyAlignment="1" applyProtection="1">
      <alignment horizontal="center" vertical="center"/>
      <protection locked="0"/>
    </xf>
    <xf numFmtId="0" fontId="48" fillId="2" borderId="19" xfId="2" applyFont="1" applyFill="1" applyBorder="1" applyAlignment="1">
      <alignment horizontal="left" vertical="center" wrapText="1"/>
    </xf>
    <xf numFmtId="176" fontId="48" fillId="2" borderId="30" xfId="2" applyNumberFormat="1" applyFont="1" applyFill="1" applyBorder="1" applyAlignment="1">
      <alignment horizontal="right" vertical="center"/>
    </xf>
    <xf numFmtId="176" fontId="48" fillId="2" borderId="31" xfId="2" applyNumberFormat="1" applyFont="1" applyFill="1" applyBorder="1" applyAlignment="1">
      <alignment horizontal="right" vertical="center"/>
    </xf>
    <xf numFmtId="176" fontId="48" fillId="2" borderId="33" xfId="2" applyNumberFormat="1" applyFont="1" applyFill="1" applyBorder="1" applyAlignment="1">
      <alignment horizontal="right" vertical="center"/>
    </xf>
    <xf numFmtId="0" fontId="48" fillId="2" borderId="28" xfId="2" applyFont="1" applyFill="1" applyBorder="1" applyAlignment="1">
      <alignment horizontal="center" vertical="center"/>
    </xf>
    <xf numFmtId="0" fontId="48" fillId="2" borderId="20" xfId="2" applyFont="1" applyFill="1" applyBorder="1" applyAlignment="1">
      <alignment horizontal="center" vertical="center"/>
    </xf>
    <xf numFmtId="0" fontId="48" fillId="2" borderId="34" xfId="2" applyFont="1" applyFill="1" applyBorder="1" applyAlignment="1">
      <alignment horizontal="center" vertical="center"/>
    </xf>
    <xf numFmtId="0" fontId="48" fillId="2" borderId="35" xfId="2" applyFont="1" applyFill="1" applyBorder="1" applyAlignment="1">
      <alignment horizontal="center" vertical="center"/>
    </xf>
    <xf numFmtId="0" fontId="48" fillId="2" borderId="30" xfId="2" applyFont="1" applyFill="1" applyBorder="1" applyAlignment="1">
      <alignment horizontal="center" vertical="center"/>
    </xf>
    <xf numFmtId="176" fontId="48" fillId="8" borderId="30" xfId="2" applyNumberFormat="1" applyFont="1" applyFill="1" applyBorder="1" applyAlignment="1" applyProtection="1">
      <alignment horizontal="right" vertical="center"/>
      <protection locked="0"/>
    </xf>
    <xf numFmtId="176" fontId="48" fillId="8" borderId="33" xfId="2" applyNumberFormat="1" applyFont="1" applyFill="1" applyBorder="1" applyAlignment="1" applyProtection="1">
      <alignment horizontal="right" vertical="center"/>
      <protection locked="0"/>
    </xf>
    <xf numFmtId="176" fontId="48" fillId="8" borderId="31" xfId="2" applyNumberFormat="1" applyFont="1" applyFill="1" applyBorder="1" applyAlignment="1" applyProtection="1">
      <alignment horizontal="right" vertical="center"/>
      <protection locked="0"/>
    </xf>
    <xf numFmtId="0" fontId="48" fillId="4" borderId="18" xfId="2" applyFont="1" applyFill="1" applyBorder="1" applyAlignment="1">
      <alignment horizontal="center" vertical="center"/>
    </xf>
    <xf numFmtId="0" fontId="48" fillId="2" borderId="0" xfId="2" applyFont="1" applyFill="1" applyAlignment="1">
      <alignment horizontal="left" vertical="center" wrapText="1"/>
    </xf>
    <xf numFmtId="0" fontId="48" fillId="4" borderId="6" xfId="2" applyFont="1" applyFill="1" applyBorder="1" applyAlignment="1">
      <alignment horizontal="center" vertical="center"/>
    </xf>
    <xf numFmtId="0" fontId="48" fillId="4" borderId="38" xfId="2" applyFont="1" applyFill="1" applyBorder="1" applyAlignment="1">
      <alignment horizontal="center" vertical="center"/>
    </xf>
    <xf numFmtId="0" fontId="48" fillId="4" borderId="37" xfId="2" applyFont="1" applyFill="1" applyBorder="1" applyAlignment="1">
      <alignment horizontal="center" vertical="center"/>
    </xf>
    <xf numFmtId="0" fontId="48" fillId="4" borderId="42" xfId="2" applyFont="1" applyFill="1" applyBorder="1" applyAlignment="1">
      <alignment horizontal="center" vertical="center"/>
    </xf>
    <xf numFmtId="0" fontId="48" fillId="8" borderId="10" xfId="2" applyFont="1" applyFill="1" applyBorder="1" applyAlignment="1" applyProtection="1">
      <alignment horizontal="center" vertical="center"/>
      <protection locked="0"/>
    </xf>
    <xf numFmtId="0" fontId="48" fillId="8" borderId="11" xfId="2" applyFont="1" applyFill="1" applyBorder="1" applyAlignment="1" applyProtection="1">
      <alignment horizontal="center" vertical="center"/>
      <protection locked="0"/>
    </xf>
    <xf numFmtId="0" fontId="48" fillId="8" borderId="12" xfId="2" applyFont="1" applyFill="1" applyBorder="1" applyAlignment="1" applyProtection="1">
      <alignment horizontal="center" vertical="center"/>
      <protection locked="0"/>
    </xf>
    <xf numFmtId="10" fontId="48" fillId="8" borderId="10" xfId="80" applyNumberFormat="1" applyFont="1" applyFill="1" applyBorder="1" applyAlignment="1" applyProtection="1">
      <alignment horizontal="center" vertical="center"/>
      <protection locked="0"/>
    </xf>
    <xf numFmtId="10" fontId="48" fillId="8" borderId="16" xfId="80" applyNumberFormat="1" applyFont="1" applyFill="1" applyBorder="1" applyAlignment="1" applyProtection="1">
      <alignment horizontal="center" vertical="center"/>
      <protection locked="0"/>
    </xf>
    <xf numFmtId="10" fontId="48" fillId="8" borderId="10" xfId="2" applyNumberFormat="1" applyFont="1" applyFill="1" applyBorder="1" applyAlignment="1" applyProtection="1">
      <alignment horizontal="center" vertical="center"/>
      <protection locked="0"/>
    </xf>
    <xf numFmtId="10" fontId="48" fillId="8" borderId="16" xfId="2" applyNumberFormat="1" applyFont="1" applyFill="1" applyBorder="1" applyAlignment="1" applyProtection="1">
      <alignment horizontal="center" vertical="center"/>
      <protection locked="0"/>
    </xf>
    <xf numFmtId="0" fontId="48" fillId="4" borderId="30" xfId="2" applyFont="1" applyFill="1" applyBorder="1" applyAlignment="1">
      <alignment horizontal="center" vertical="center" wrapText="1"/>
    </xf>
    <xf numFmtId="0" fontId="48" fillId="4" borderId="31" xfId="2" applyFont="1" applyFill="1" applyBorder="1" applyAlignment="1">
      <alignment horizontal="center" vertical="center" wrapText="1"/>
    </xf>
    <xf numFmtId="0" fontId="48" fillId="4" borderId="33" xfId="2" applyFont="1" applyFill="1" applyBorder="1" applyAlignment="1">
      <alignment horizontal="center" vertical="center" wrapText="1"/>
    </xf>
    <xf numFmtId="0" fontId="48" fillId="8" borderId="28" xfId="2" applyFont="1" applyFill="1" applyBorder="1" applyAlignment="1" applyProtection="1">
      <alignment horizontal="left" vertical="center" wrapText="1"/>
      <protection locked="0"/>
    </xf>
    <xf numFmtId="0" fontId="48" fillId="2" borderId="10" xfId="2" applyFont="1" applyFill="1" applyBorder="1" applyAlignment="1">
      <alignment horizontal="center" vertical="center"/>
    </xf>
    <xf numFmtId="0" fontId="48" fillId="2" borderId="11" xfId="2" applyFont="1" applyFill="1" applyBorder="1" applyAlignment="1">
      <alignment horizontal="center" vertical="center"/>
    </xf>
    <xf numFmtId="0" fontId="48" fillId="2" borderId="26" xfId="2" applyFont="1" applyFill="1" applyBorder="1" applyAlignment="1">
      <alignment horizontal="center" vertical="center"/>
    </xf>
    <xf numFmtId="0" fontId="48" fillId="2" borderId="14" xfId="2" applyFont="1" applyFill="1" applyBorder="1" applyAlignment="1">
      <alignment horizontal="center" vertical="center"/>
    </xf>
    <xf numFmtId="0" fontId="48" fillId="2" borderId="23" xfId="2" applyFont="1" applyFill="1" applyBorder="1" applyAlignment="1">
      <alignment horizontal="center" vertical="center"/>
    </xf>
    <xf numFmtId="10" fontId="48" fillId="2" borderId="13" xfId="2" applyNumberFormat="1" applyFont="1" applyFill="1" applyBorder="1" applyAlignment="1" applyProtection="1">
      <alignment horizontal="center" vertical="center"/>
      <protection locked="0"/>
    </xf>
    <xf numFmtId="0" fontId="48" fillId="2" borderId="15" xfId="2" applyFont="1" applyFill="1" applyBorder="1" applyAlignment="1" applyProtection="1">
      <alignment horizontal="center" vertical="center"/>
      <protection locked="0"/>
    </xf>
    <xf numFmtId="176" fontId="48" fillId="8" borderId="54" xfId="3" applyNumberFormat="1" applyFont="1" applyFill="1" applyBorder="1" applyProtection="1">
      <alignment vertical="center"/>
      <protection locked="0"/>
    </xf>
    <xf numFmtId="176" fontId="48" fillId="8" borderId="51" xfId="3" applyNumberFormat="1" applyFont="1" applyFill="1" applyBorder="1" applyProtection="1">
      <alignment vertical="center"/>
      <protection locked="0"/>
    </xf>
    <xf numFmtId="0" fontId="8" fillId="0" borderId="13" xfId="3" applyFont="1" applyBorder="1" applyAlignment="1">
      <alignment horizontal="left" vertical="center" shrinkToFit="1"/>
    </xf>
    <xf numFmtId="0" fontId="9" fillId="0" borderId="14" xfId="3" applyFont="1" applyBorder="1" applyAlignment="1">
      <alignment horizontal="left" vertical="center" shrinkToFit="1"/>
    </xf>
    <xf numFmtId="0" fontId="9" fillId="0" borderId="15" xfId="3" applyFont="1" applyBorder="1" applyAlignment="1">
      <alignment horizontal="left" vertical="center" shrinkToFit="1"/>
    </xf>
    <xf numFmtId="0" fontId="29" fillId="5" borderId="75" xfId="3" applyFont="1" applyFill="1" applyBorder="1" applyAlignment="1">
      <alignment horizontal="center" vertical="center"/>
    </xf>
    <xf numFmtId="0" fontId="29" fillId="5" borderId="66" xfId="3" applyFont="1" applyFill="1" applyBorder="1" applyAlignment="1">
      <alignment horizontal="center" vertical="center"/>
    </xf>
    <xf numFmtId="0" fontId="29" fillId="5" borderId="67" xfId="3" applyFont="1" applyFill="1" applyBorder="1" applyAlignment="1">
      <alignment horizontal="center" vertical="center"/>
    </xf>
    <xf numFmtId="0" fontId="68" fillId="8" borderId="34" xfId="3" applyFont="1" applyFill="1" applyBorder="1" applyAlignment="1" applyProtection="1">
      <alignment horizontal="center" vertical="center"/>
      <protection locked="0"/>
    </xf>
    <xf numFmtId="0" fontId="68" fillId="8" borderId="0" xfId="3" applyFont="1" applyFill="1" applyAlignment="1" applyProtection="1">
      <alignment horizontal="center" vertical="center"/>
      <protection locked="0"/>
    </xf>
    <xf numFmtId="0" fontId="68" fillId="8" borderId="19" xfId="3" applyFont="1" applyFill="1" applyBorder="1" applyAlignment="1" applyProtection="1">
      <alignment horizontal="center" vertical="center"/>
      <protection locked="0"/>
    </xf>
    <xf numFmtId="0" fontId="9" fillId="2" borderId="65" xfId="3" applyFont="1" applyFill="1" applyBorder="1" applyAlignment="1">
      <alignment horizontal="center" vertical="center" wrapText="1"/>
    </xf>
    <xf numFmtId="0" fontId="11" fillId="2" borderId="66" xfId="3" applyFont="1" applyFill="1" applyBorder="1" applyAlignment="1">
      <alignment horizontal="center" vertical="center" wrapText="1"/>
    </xf>
    <xf numFmtId="0" fontId="11" fillId="2" borderId="67" xfId="3" applyFont="1" applyFill="1" applyBorder="1" applyAlignment="1">
      <alignment horizontal="center" vertical="center" wrapText="1"/>
    </xf>
    <xf numFmtId="0" fontId="29" fillId="2" borderId="54" xfId="3" applyFont="1" applyFill="1" applyBorder="1" applyAlignment="1">
      <alignment horizontal="center" vertical="center"/>
    </xf>
    <xf numFmtId="0" fontId="29" fillId="2" borderId="51" xfId="3" applyFont="1" applyFill="1" applyBorder="1" applyAlignment="1">
      <alignment horizontal="center" vertical="center"/>
    </xf>
    <xf numFmtId="0" fontId="29" fillId="2" borderId="61" xfId="3" applyFont="1" applyFill="1" applyBorder="1" applyAlignment="1">
      <alignment horizontal="center" vertical="center"/>
    </xf>
    <xf numFmtId="0" fontId="29" fillId="2" borderId="62" xfId="3" applyFont="1" applyFill="1" applyBorder="1" applyAlignment="1">
      <alignment horizontal="center" vertical="center"/>
    </xf>
    <xf numFmtId="0" fontId="10" fillId="8" borderId="54" xfId="3" applyFont="1" applyFill="1" applyBorder="1" applyAlignment="1" applyProtection="1">
      <alignment horizontal="center" vertical="center"/>
      <protection locked="0"/>
    </xf>
    <xf numFmtId="0" fontId="44" fillId="8" borderId="51" xfId="3" applyFont="1" applyFill="1" applyBorder="1" applyAlignment="1" applyProtection="1">
      <alignment horizontal="center" vertical="center"/>
      <protection locked="0"/>
    </xf>
    <xf numFmtId="0" fontId="44" fillId="8" borderId="61" xfId="3" applyFont="1" applyFill="1" applyBorder="1" applyAlignment="1" applyProtection="1">
      <alignment horizontal="center" vertical="center"/>
      <protection locked="0"/>
    </xf>
    <xf numFmtId="0" fontId="44" fillId="8" borderId="62" xfId="3" applyFont="1" applyFill="1" applyBorder="1" applyAlignment="1" applyProtection="1">
      <alignment horizontal="center" vertical="center"/>
      <protection locked="0"/>
    </xf>
    <xf numFmtId="0" fontId="68" fillId="2" borderId="10" xfId="3" applyFont="1" applyFill="1" applyBorder="1" applyAlignment="1">
      <alignment horizontal="center" vertical="center"/>
    </xf>
    <xf numFmtId="0" fontId="48" fillId="2" borderId="11" xfId="3" applyFont="1" applyFill="1" applyBorder="1" applyAlignment="1">
      <alignment horizontal="center" vertical="center"/>
    </xf>
    <xf numFmtId="0" fontId="48" fillId="2" borderId="12" xfId="3" applyFont="1" applyFill="1" applyBorder="1" applyAlignment="1">
      <alignment horizontal="center" vertical="center"/>
    </xf>
    <xf numFmtId="176" fontId="48" fillId="8" borderId="10" xfId="3" applyNumberFormat="1" applyFont="1" applyFill="1" applyBorder="1" applyProtection="1">
      <alignment vertical="center"/>
      <protection locked="0"/>
    </xf>
    <xf numFmtId="176" fontId="48" fillId="8" borderId="12" xfId="3" applyNumberFormat="1" applyFont="1" applyFill="1" applyBorder="1" applyProtection="1">
      <alignment vertical="center"/>
      <protection locked="0"/>
    </xf>
    <xf numFmtId="0" fontId="68" fillId="8" borderId="10" xfId="3" applyFont="1" applyFill="1" applyBorder="1" applyAlignment="1" applyProtection="1">
      <alignment horizontal="center" vertical="center" shrinkToFit="1"/>
      <protection locked="0"/>
    </xf>
    <xf numFmtId="0" fontId="68" fillId="8" borderId="11" xfId="3" applyFont="1" applyFill="1" applyBorder="1" applyAlignment="1" applyProtection="1">
      <alignment horizontal="center" vertical="center" shrinkToFit="1"/>
      <protection locked="0"/>
    </xf>
    <xf numFmtId="0" fontId="68" fillId="8" borderId="12" xfId="3" applyFont="1" applyFill="1" applyBorder="1" applyAlignment="1" applyProtection="1">
      <alignment horizontal="center" vertical="center" shrinkToFit="1"/>
      <protection locked="0"/>
    </xf>
    <xf numFmtId="176" fontId="48" fillId="8" borderId="11" xfId="3" applyNumberFormat="1" applyFont="1" applyFill="1" applyBorder="1" applyProtection="1">
      <alignment vertical="center"/>
      <protection locked="0"/>
    </xf>
    <xf numFmtId="0" fontId="8" fillId="2" borderId="54" xfId="3" applyFont="1" applyFill="1" applyBorder="1" applyAlignment="1">
      <alignment horizontal="center" vertical="center"/>
    </xf>
    <xf numFmtId="0" fontId="29" fillId="2" borderId="56" xfId="3" applyFont="1" applyFill="1" applyBorder="1" applyAlignment="1">
      <alignment horizontal="center" vertical="center"/>
    </xf>
    <xf numFmtId="0" fontId="29" fillId="2" borderId="48" xfId="3" applyFont="1" applyFill="1" applyBorder="1" applyAlignment="1">
      <alignment horizontal="center" vertical="center"/>
    </xf>
    <xf numFmtId="0" fontId="44" fillId="8" borderId="54" xfId="3" applyFont="1" applyFill="1" applyBorder="1" applyAlignment="1" applyProtection="1">
      <alignment horizontal="center" vertical="center"/>
      <protection locked="0"/>
    </xf>
    <xf numFmtId="0" fontId="44" fillId="8" borderId="56" xfId="3" applyFont="1" applyFill="1" applyBorder="1" applyAlignment="1" applyProtection="1">
      <alignment horizontal="center" vertical="center"/>
      <protection locked="0"/>
    </xf>
    <xf numFmtId="0" fontId="44" fillId="8" borderId="48" xfId="3" applyFont="1" applyFill="1" applyBorder="1" applyAlignment="1" applyProtection="1">
      <alignment horizontal="center" vertical="center"/>
      <protection locked="0"/>
    </xf>
    <xf numFmtId="0" fontId="38" fillId="4" borderId="36" xfId="3" applyFill="1" applyBorder="1" applyAlignment="1">
      <alignment horizontal="center" vertical="center"/>
    </xf>
    <xf numFmtId="0" fontId="38" fillId="4" borderId="37" xfId="3" applyFill="1" applyBorder="1" applyAlignment="1">
      <alignment horizontal="center" vertical="center"/>
    </xf>
    <xf numFmtId="0" fontId="38" fillId="4" borderId="30" xfId="3" applyFill="1" applyBorder="1" applyAlignment="1">
      <alignment horizontal="left" vertical="center" wrapText="1"/>
    </xf>
    <xf numFmtId="0" fontId="38" fillId="4" borderId="31" xfId="3" applyFill="1" applyBorder="1" applyAlignment="1">
      <alignment horizontal="left" vertical="center" wrapText="1"/>
    </xf>
    <xf numFmtId="0" fontId="38" fillId="4" borderId="32" xfId="3" applyFill="1" applyBorder="1" applyAlignment="1">
      <alignment horizontal="left" vertical="center" wrapText="1"/>
    </xf>
    <xf numFmtId="0" fontId="68" fillId="8" borderId="30" xfId="3" applyFont="1" applyFill="1" applyBorder="1" applyAlignment="1" applyProtection="1">
      <alignment horizontal="center" vertical="center" wrapText="1"/>
      <protection locked="0"/>
    </xf>
    <xf numFmtId="0" fontId="48" fillId="8" borderId="31" xfId="3" applyFont="1" applyFill="1" applyBorder="1" applyAlignment="1" applyProtection="1">
      <alignment horizontal="center" vertical="center" wrapText="1"/>
      <protection locked="0"/>
    </xf>
    <xf numFmtId="0" fontId="48" fillId="8" borderId="32" xfId="3" applyFont="1" applyFill="1" applyBorder="1" applyAlignment="1" applyProtection="1">
      <alignment horizontal="center" vertical="center" wrapText="1"/>
      <protection locked="0"/>
    </xf>
    <xf numFmtId="0" fontId="37" fillId="4" borderId="30" xfId="3" applyFont="1" applyFill="1" applyBorder="1" applyAlignment="1">
      <alignment horizontal="left" vertical="center" wrapText="1"/>
    </xf>
    <xf numFmtId="0" fontId="48" fillId="8" borderId="30" xfId="3" applyFont="1" applyFill="1" applyBorder="1" applyAlignment="1" applyProtection="1">
      <alignment horizontal="center" vertical="center" wrapText="1"/>
      <protection locked="0"/>
    </xf>
    <xf numFmtId="0" fontId="38" fillId="4" borderId="6" xfId="3" applyFill="1" applyBorder="1" applyAlignment="1">
      <alignment horizontal="center" vertical="center"/>
    </xf>
    <xf numFmtId="0" fontId="38" fillId="4" borderId="38" xfId="3" applyFill="1" applyBorder="1" applyAlignment="1">
      <alignment horizontal="center" vertical="center"/>
    </xf>
    <xf numFmtId="0" fontId="20" fillId="4" borderId="6" xfId="3" applyFont="1" applyFill="1" applyBorder="1" applyAlignment="1">
      <alignment horizontal="center" vertical="center"/>
    </xf>
    <xf numFmtId="0" fontId="37" fillId="4" borderId="6" xfId="3" applyFont="1" applyFill="1" applyBorder="1" applyAlignment="1">
      <alignment horizontal="center" vertical="center"/>
    </xf>
    <xf numFmtId="0" fontId="68" fillId="8" borderId="10" xfId="3" applyFont="1" applyFill="1" applyBorder="1" applyAlignment="1" applyProtection="1">
      <alignment horizontal="center" vertical="center"/>
      <protection locked="0"/>
    </xf>
    <xf numFmtId="0" fontId="68" fillId="8" borderId="11" xfId="3" applyFont="1" applyFill="1" applyBorder="1" applyAlignment="1" applyProtection="1">
      <alignment horizontal="center" vertical="center"/>
      <protection locked="0"/>
    </xf>
    <xf numFmtId="0" fontId="48" fillId="8" borderId="13" xfId="3" applyFont="1" applyFill="1" applyBorder="1" applyAlignment="1" applyProtection="1">
      <alignment horizontal="center" vertical="center"/>
      <protection locked="0"/>
    </xf>
    <xf numFmtId="0" fontId="48" fillId="8" borderId="14" xfId="3" applyFont="1" applyFill="1" applyBorder="1" applyAlignment="1" applyProtection="1">
      <alignment horizontal="center" vertical="center"/>
      <protection locked="0"/>
    </xf>
    <xf numFmtId="0" fontId="48" fillId="8" borderId="9" xfId="4" applyFont="1" applyFill="1" applyBorder="1" applyAlignment="1" applyProtection="1">
      <alignment horizontal="center" vertical="center"/>
      <protection locked="0"/>
    </xf>
    <xf numFmtId="0" fontId="68" fillId="8" borderId="43" xfId="3" applyFont="1" applyFill="1" applyBorder="1" applyAlignment="1" applyProtection="1">
      <alignment horizontal="center" vertical="center"/>
      <protection locked="0"/>
    </xf>
    <xf numFmtId="0" fontId="68" fillId="8" borderId="12" xfId="3" applyFont="1" applyFill="1" applyBorder="1" applyAlignment="1" applyProtection="1">
      <alignment horizontal="center" vertical="center"/>
      <protection locked="0"/>
    </xf>
    <xf numFmtId="0" fontId="48" fillId="8" borderId="43" xfId="3" applyFont="1" applyFill="1" applyBorder="1" applyAlignment="1" applyProtection="1">
      <alignment horizontal="center" vertical="center"/>
      <protection locked="0"/>
    </xf>
    <xf numFmtId="0" fontId="48" fillId="8" borderId="26" xfId="3" applyFont="1" applyFill="1" applyBorder="1" applyAlignment="1" applyProtection="1">
      <alignment horizontal="center" vertical="center"/>
      <protection locked="0"/>
    </xf>
    <xf numFmtId="0" fontId="48" fillId="8" borderId="23" xfId="3" applyFont="1" applyFill="1" applyBorder="1" applyAlignment="1" applyProtection="1">
      <alignment horizontal="center" vertical="center"/>
      <protection locked="0"/>
    </xf>
    <xf numFmtId="0" fontId="68" fillId="8" borderId="45" xfId="4" applyFont="1" applyFill="1" applyBorder="1" applyAlignment="1" applyProtection="1">
      <alignment horizontal="center" vertical="center"/>
      <protection locked="0"/>
    </xf>
    <xf numFmtId="0" fontId="18" fillId="4" borderId="30" xfId="4" applyFont="1" applyFill="1" applyBorder="1" applyAlignment="1">
      <alignment horizontal="center" vertical="center"/>
    </xf>
    <xf numFmtId="0" fontId="38" fillId="4" borderId="31" xfId="4" applyFill="1" applyBorder="1" applyAlignment="1">
      <alignment horizontal="center" vertical="center"/>
    </xf>
    <xf numFmtId="0" fontId="38" fillId="4" borderId="32" xfId="4" applyFill="1" applyBorder="1" applyAlignment="1">
      <alignment horizontal="center" vertical="center"/>
    </xf>
    <xf numFmtId="0" fontId="68" fillId="8" borderId="45" xfId="3" applyFont="1" applyFill="1" applyBorder="1" applyAlignment="1" applyProtection="1">
      <alignment horizontal="center" vertical="center"/>
      <protection locked="0"/>
    </xf>
    <xf numFmtId="0" fontId="68" fillId="8" borderId="46" xfId="3" applyFont="1" applyFill="1" applyBorder="1" applyAlignment="1" applyProtection="1">
      <alignment horizontal="center" vertical="center"/>
      <protection locked="0"/>
    </xf>
    <xf numFmtId="0" fontId="48" fillId="8" borderId="9" xfId="3" applyFont="1" applyFill="1" applyBorder="1" applyAlignment="1" applyProtection="1">
      <alignment horizontal="center" vertical="center"/>
      <protection locked="0"/>
    </xf>
    <xf numFmtId="0" fontId="48" fillId="8" borderId="39" xfId="3" applyFont="1" applyFill="1" applyBorder="1" applyAlignment="1" applyProtection="1">
      <alignment horizontal="center" vertical="center"/>
      <protection locked="0"/>
    </xf>
    <xf numFmtId="0" fontId="48" fillId="8" borderId="9" xfId="4" applyFont="1" applyFill="1" applyBorder="1" applyAlignment="1" applyProtection="1">
      <alignment horizontal="center" vertical="center" wrapText="1"/>
      <protection locked="0"/>
    </xf>
    <xf numFmtId="0" fontId="48" fillId="8" borderId="9" xfId="4" applyFont="1" applyFill="1" applyBorder="1" applyAlignment="1" applyProtection="1">
      <alignment horizontal="center" vertical="center" shrinkToFit="1"/>
      <protection locked="0"/>
    </xf>
    <xf numFmtId="0" fontId="68" fillId="8" borderId="9" xfId="4" applyFont="1" applyFill="1" applyBorder="1" applyAlignment="1" applyProtection="1">
      <alignment horizontal="center" vertical="center"/>
      <protection locked="0"/>
    </xf>
    <xf numFmtId="0" fontId="48" fillId="8" borderId="17" xfId="4" applyFont="1" applyFill="1" applyBorder="1" applyAlignment="1" applyProtection="1">
      <alignment horizontal="center" vertical="center"/>
      <protection locked="0"/>
    </xf>
    <xf numFmtId="0" fontId="68" fillId="8" borderId="45" xfId="4" applyFont="1" applyFill="1" applyBorder="1" applyAlignment="1" applyProtection="1">
      <alignment horizontal="center" vertical="center" wrapText="1"/>
      <protection locked="0"/>
    </xf>
    <xf numFmtId="0" fontId="11" fillId="2" borderId="65" xfId="3" applyFont="1" applyFill="1" applyBorder="1" applyAlignment="1">
      <alignment horizontal="center" vertical="center" wrapText="1"/>
    </xf>
    <xf numFmtId="0" fontId="11" fillId="2" borderId="44" xfId="3" applyFont="1" applyFill="1" applyBorder="1" applyAlignment="1">
      <alignment horizontal="center" vertical="center" wrapText="1"/>
    </xf>
    <xf numFmtId="0" fontId="38" fillId="2" borderId="66" xfId="3" applyFill="1" applyBorder="1" applyAlignment="1">
      <alignment horizontal="center" vertical="center"/>
    </xf>
    <xf numFmtId="0" fontId="48" fillId="8" borderId="9" xfId="3" applyFont="1" applyFill="1" applyBorder="1" applyAlignment="1" applyProtection="1">
      <alignment horizontal="center" vertical="center" shrinkToFit="1"/>
      <protection locked="0"/>
    </xf>
    <xf numFmtId="0" fontId="48" fillId="8" borderId="39" xfId="3" applyFont="1" applyFill="1" applyBorder="1" applyAlignment="1" applyProtection="1">
      <alignment horizontal="center" vertical="center" shrinkToFit="1"/>
      <protection locked="0"/>
    </xf>
    <xf numFmtId="0" fontId="48" fillId="8" borderId="9" xfId="3" applyFont="1" applyFill="1" applyBorder="1" applyAlignment="1" applyProtection="1">
      <alignment horizontal="center" vertical="center" wrapText="1"/>
      <protection locked="0"/>
    </xf>
    <xf numFmtId="0" fontId="48" fillId="8" borderId="39" xfId="3" applyFont="1" applyFill="1" applyBorder="1" applyAlignment="1" applyProtection="1">
      <alignment horizontal="center" vertical="center" wrapText="1"/>
      <protection locked="0"/>
    </xf>
    <xf numFmtId="0" fontId="2" fillId="0" borderId="58" xfId="3" applyFont="1" applyBorder="1">
      <alignment vertical="center"/>
    </xf>
    <xf numFmtId="0" fontId="29" fillId="0" borderId="34" xfId="3" applyFont="1" applyBorder="1">
      <alignment vertical="center"/>
    </xf>
    <xf numFmtId="0" fontId="29" fillId="0" borderId="35" xfId="3" applyFont="1" applyBorder="1">
      <alignment vertical="center"/>
    </xf>
    <xf numFmtId="0" fontId="29" fillId="0" borderId="61" xfId="3" applyFont="1" applyBorder="1">
      <alignment vertical="center"/>
    </xf>
    <xf numFmtId="0" fontId="29" fillId="0" borderId="53" xfId="3" applyFont="1" applyBorder="1">
      <alignment vertical="center"/>
    </xf>
    <xf numFmtId="0" fontId="29" fillId="0" borderId="60" xfId="3" applyFont="1" applyBorder="1">
      <alignment vertical="center"/>
    </xf>
    <xf numFmtId="0" fontId="15" fillId="2" borderId="56" xfId="3" applyFont="1" applyFill="1" applyBorder="1">
      <alignment vertical="center"/>
    </xf>
    <xf numFmtId="0" fontId="29" fillId="2" borderId="0" xfId="3" applyFont="1" applyFill="1">
      <alignment vertical="center"/>
    </xf>
    <xf numFmtId="0" fontId="29" fillId="2" borderId="29" xfId="3" applyFont="1" applyFill="1" applyBorder="1">
      <alignment vertical="center"/>
    </xf>
    <xf numFmtId="0" fontId="29" fillId="2" borderId="56" xfId="3" applyFont="1" applyFill="1" applyBorder="1">
      <alignment vertical="center"/>
    </xf>
    <xf numFmtId="0" fontId="48" fillId="8" borderId="17" xfId="3" applyFont="1" applyFill="1" applyBorder="1" applyAlignment="1" applyProtection="1">
      <alignment horizontal="center" vertical="center"/>
      <protection locked="0"/>
    </xf>
    <xf numFmtId="0" fontId="48" fillId="8" borderId="41" xfId="3" applyFont="1" applyFill="1" applyBorder="1" applyAlignment="1" applyProtection="1">
      <alignment horizontal="center" vertical="center"/>
      <protection locked="0"/>
    </xf>
    <xf numFmtId="0" fontId="29" fillId="5" borderId="6" xfId="3" applyFont="1" applyFill="1" applyBorder="1" applyAlignment="1">
      <alignment horizontal="center" vertical="center"/>
    </xf>
    <xf numFmtId="0" fontId="29" fillId="5" borderId="37" xfId="3" applyFont="1" applyFill="1" applyBorder="1" applyAlignment="1">
      <alignment horizontal="center" vertical="center"/>
    </xf>
    <xf numFmtId="176" fontId="48" fillId="8" borderId="56" xfId="3" applyNumberFormat="1" applyFont="1" applyFill="1" applyBorder="1" applyProtection="1">
      <alignment vertical="center"/>
      <protection locked="0"/>
    </xf>
    <xf numFmtId="176" fontId="48" fillId="8" borderId="48" xfId="3" applyNumberFormat="1" applyFont="1" applyFill="1" applyBorder="1" applyProtection="1">
      <alignment vertical="center"/>
      <protection locked="0"/>
    </xf>
    <xf numFmtId="0" fontId="29" fillId="5" borderId="38" xfId="3" applyFont="1" applyFill="1" applyBorder="1" applyAlignment="1">
      <alignment horizontal="center" vertical="center"/>
    </xf>
    <xf numFmtId="0" fontId="29" fillId="5" borderId="42" xfId="3" applyFont="1" applyFill="1" applyBorder="1" applyAlignment="1">
      <alignment horizontal="center" vertical="center"/>
    </xf>
    <xf numFmtId="0" fontId="48" fillId="8" borderId="0" xfId="26" applyFont="1" applyFill="1" applyAlignment="1" applyProtection="1">
      <alignment horizontal="center" vertical="center" shrinkToFit="1"/>
      <protection locked="0"/>
    </xf>
    <xf numFmtId="0" fontId="48" fillId="8" borderId="48" xfId="26" applyFont="1" applyFill="1" applyBorder="1" applyAlignment="1" applyProtection="1">
      <alignment horizontal="center" vertical="center" shrinkToFit="1"/>
      <protection locked="0"/>
    </xf>
    <xf numFmtId="0" fontId="1" fillId="5" borderId="20" xfId="29" applyFont="1" applyFill="1" applyBorder="1" applyAlignment="1">
      <alignment horizontal="center" vertical="center" wrapText="1"/>
    </xf>
    <xf numFmtId="0" fontId="30" fillId="5" borderId="34" xfId="29" applyFill="1" applyBorder="1" applyAlignment="1">
      <alignment horizontal="center" vertical="center" wrapText="1"/>
    </xf>
    <xf numFmtId="0" fontId="30" fillId="5" borderId="47" xfId="29" applyFill="1" applyBorder="1" applyAlignment="1">
      <alignment horizontal="center" vertical="center" wrapText="1"/>
    </xf>
    <xf numFmtId="0" fontId="30" fillId="5" borderId="22" xfId="29" applyFill="1" applyBorder="1" applyAlignment="1">
      <alignment horizontal="center" vertical="center" wrapText="1"/>
    </xf>
    <xf numFmtId="0" fontId="30" fillId="5" borderId="0" xfId="29" applyFill="1" applyAlignment="1">
      <alignment horizontal="center" vertical="center" wrapText="1"/>
    </xf>
    <xf numFmtId="0" fontId="30" fillId="5" borderId="48" xfId="29" applyFill="1" applyBorder="1" applyAlignment="1">
      <alignment horizontal="center" vertical="center" wrapText="1"/>
    </xf>
    <xf numFmtId="0" fontId="30" fillId="5" borderId="21" xfId="29" applyFill="1" applyBorder="1" applyAlignment="1">
      <alignment horizontal="center" vertical="center" wrapText="1"/>
    </xf>
    <xf numFmtId="0" fontId="30" fillId="5" borderId="19" xfId="29" applyFill="1" applyBorder="1" applyAlignment="1">
      <alignment horizontal="center" vertical="center" wrapText="1"/>
    </xf>
    <xf numFmtId="0" fontId="30" fillId="5" borderId="59" xfId="29" applyFill="1" applyBorder="1" applyAlignment="1">
      <alignment horizontal="center" vertical="center" wrapText="1"/>
    </xf>
    <xf numFmtId="0" fontId="78" fillId="8" borderId="58" xfId="29" applyFont="1" applyFill="1" applyBorder="1" applyAlignment="1">
      <alignment vertical="top" wrapText="1"/>
    </xf>
    <xf numFmtId="0" fontId="71" fillId="8" borderId="34" xfId="29" applyFont="1" applyFill="1" applyBorder="1" applyAlignment="1">
      <alignment vertical="top" wrapText="1"/>
    </xf>
    <xf numFmtId="0" fontId="71" fillId="8" borderId="35" xfId="29" applyFont="1" applyFill="1" applyBorder="1" applyAlignment="1">
      <alignment vertical="top" wrapText="1"/>
    </xf>
    <xf numFmtId="0" fontId="71" fillId="8" borderId="56" xfId="29" applyFont="1" applyFill="1" applyBorder="1" applyAlignment="1">
      <alignment vertical="top" wrapText="1"/>
    </xf>
    <xf numFmtId="0" fontId="71" fillId="8" borderId="0" xfId="29" applyFont="1" applyFill="1" applyAlignment="1">
      <alignment vertical="top" wrapText="1"/>
    </xf>
    <xf numFmtId="0" fontId="71" fillId="8" borderId="29" xfId="29" applyFont="1" applyFill="1" applyBorder="1" applyAlignment="1">
      <alignment vertical="top" wrapText="1"/>
    </xf>
    <xf numFmtId="0" fontId="71" fillId="8" borderId="57" xfId="29" applyFont="1" applyFill="1" applyBorder="1" applyAlignment="1">
      <alignment vertical="top" wrapText="1"/>
    </xf>
    <xf numFmtId="0" fontId="71" fillId="8" borderId="19" xfId="29" applyFont="1" applyFill="1" applyBorder="1" applyAlignment="1">
      <alignment vertical="top" wrapText="1"/>
    </xf>
    <xf numFmtId="0" fontId="71" fillId="8" borderId="25" xfId="29" applyFont="1" applyFill="1" applyBorder="1" applyAlignment="1">
      <alignment vertical="top" wrapText="1"/>
    </xf>
    <xf numFmtId="0" fontId="48" fillId="5" borderId="20" xfId="29" applyFont="1" applyFill="1" applyBorder="1" applyAlignment="1">
      <alignment horizontal="center" vertical="center" wrapText="1"/>
    </xf>
    <xf numFmtId="0" fontId="48" fillId="5" borderId="34" xfId="29" applyFont="1" applyFill="1" applyBorder="1" applyAlignment="1">
      <alignment horizontal="center" vertical="center" wrapText="1"/>
    </xf>
    <xf numFmtId="0" fontId="48" fillId="5" borderId="47" xfId="29" applyFont="1" applyFill="1" applyBorder="1" applyAlignment="1">
      <alignment horizontal="center" vertical="center" wrapText="1"/>
    </xf>
    <xf numFmtId="0" fontId="48" fillId="5" borderId="22" xfId="29" applyFont="1" applyFill="1" applyBorder="1" applyAlignment="1">
      <alignment horizontal="center" vertical="center" wrapText="1"/>
    </xf>
    <xf numFmtId="0" fontId="48" fillId="5" borderId="0" xfId="29" applyFont="1" applyFill="1" applyAlignment="1">
      <alignment horizontal="center" vertical="center" wrapText="1"/>
    </xf>
    <xf numFmtId="0" fontId="48" fillId="5" borderId="48" xfId="29" applyFont="1" applyFill="1" applyBorder="1" applyAlignment="1">
      <alignment horizontal="center" vertical="center" wrapText="1"/>
    </xf>
    <xf numFmtId="0" fontId="48" fillId="5" borderId="21" xfId="29" applyFont="1" applyFill="1" applyBorder="1" applyAlignment="1">
      <alignment horizontal="center" vertical="center" wrapText="1"/>
    </xf>
    <xf numFmtId="0" fontId="48" fillId="5" borderId="19" xfId="29" applyFont="1" applyFill="1" applyBorder="1" applyAlignment="1">
      <alignment horizontal="center" vertical="center" wrapText="1"/>
    </xf>
    <xf numFmtId="0" fontId="48" fillId="5" borderId="59" xfId="29" applyFont="1" applyFill="1" applyBorder="1" applyAlignment="1">
      <alignment horizontal="center" vertical="center" wrapText="1"/>
    </xf>
    <xf numFmtId="0" fontId="71" fillId="11" borderId="58" xfId="0" applyFont="1" applyFill="1" applyBorder="1" applyAlignment="1">
      <alignment vertical="top" wrapText="1"/>
    </xf>
    <xf numFmtId="0" fontId="71" fillId="11" borderId="34" xfId="0" applyFont="1" applyFill="1" applyBorder="1" applyAlignment="1">
      <alignment vertical="top" wrapText="1"/>
    </xf>
    <xf numFmtId="0" fontId="71" fillId="11" borderId="76" xfId="0" applyFont="1" applyFill="1" applyBorder="1" applyAlignment="1">
      <alignment vertical="top" wrapText="1"/>
    </xf>
    <xf numFmtId="0" fontId="71" fillId="11" borderId="56" xfId="0" applyFont="1" applyFill="1" applyBorder="1" applyAlignment="1">
      <alignment vertical="top" wrapText="1"/>
    </xf>
    <xf numFmtId="0" fontId="71" fillId="11" borderId="0" xfId="0" applyFont="1" applyFill="1" applyAlignment="1">
      <alignment vertical="top" wrapText="1"/>
    </xf>
    <xf numFmtId="0" fontId="71" fillId="11" borderId="77" xfId="0" applyFont="1" applyFill="1" applyBorder="1" applyAlignment="1">
      <alignment vertical="top" wrapText="1"/>
    </xf>
    <xf numFmtId="0" fontId="71" fillId="11" borderId="78" xfId="0" applyFont="1" applyFill="1" applyBorder="1" applyAlignment="1">
      <alignment vertical="top" wrapText="1"/>
    </xf>
    <xf numFmtId="0" fontId="71" fillId="11" borderId="79" xfId="0" applyFont="1" applyFill="1" applyBorder="1" applyAlignment="1">
      <alignment vertical="top" wrapText="1"/>
    </xf>
    <xf numFmtId="0" fontId="71" fillId="11" borderId="80" xfId="0" applyFont="1" applyFill="1" applyBorder="1" applyAlignment="1">
      <alignment vertical="top" wrapText="1"/>
    </xf>
    <xf numFmtId="0" fontId="71" fillId="8" borderId="20" xfId="30" applyFont="1" applyFill="1" applyBorder="1" applyAlignment="1">
      <alignment horizontal="left" vertical="top" wrapText="1"/>
    </xf>
    <xf numFmtId="0" fontId="71" fillId="8" borderId="34" xfId="30" applyFont="1" applyFill="1" applyBorder="1" applyAlignment="1">
      <alignment horizontal="left" vertical="top" wrapText="1"/>
    </xf>
    <xf numFmtId="0" fontId="71" fillId="8" borderId="35" xfId="30" applyFont="1" applyFill="1" applyBorder="1" applyAlignment="1">
      <alignment horizontal="left" vertical="top" wrapText="1"/>
    </xf>
    <xf numFmtId="0" fontId="71" fillId="8" borderId="22" xfId="30" applyFont="1" applyFill="1" applyBorder="1" applyAlignment="1">
      <alignment horizontal="left" vertical="top" wrapText="1"/>
    </xf>
    <xf numFmtId="0" fontId="71" fillId="8" borderId="0" xfId="30" applyFont="1" applyFill="1" applyAlignment="1">
      <alignment horizontal="left" vertical="top" wrapText="1"/>
    </xf>
    <xf numFmtId="0" fontId="71" fillId="8" borderId="29" xfId="30" applyFont="1" applyFill="1" applyBorder="1" applyAlignment="1">
      <alignment horizontal="left" vertical="top" wrapText="1"/>
    </xf>
    <xf numFmtId="0" fontId="71" fillId="8" borderId="21" xfId="30" applyFont="1" applyFill="1" applyBorder="1" applyAlignment="1">
      <alignment horizontal="left" vertical="top" wrapText="1"/>
    </xf>
    <xf numFmtId="0" fontId="71" fillId="8" borderId="19" xfId="30" applyFont="1" applyFill="1" applyBorder="1" applyAlignment="1">
      <alignment horizontal="left" vertical="top" wrapText="1"/>
    </xf>
    <xf numFmtId="0" fontId="71" fillId="8" borderId="25" xfId="30" applyFont="1" applyFill="1" applyBorder="1" applyAlignment="1">
      <alignment horizontal="left" vertical="top" wrapText="1"/>
    </xf>
    <xf numFmtId="0" fontId="30" fillId="5" borderId="20" xfId="30" applyFill="1" applyBorder="1" applyAlignment="1">
      <alignment horizontal="center" vertical="center" textRotation="255"/>
    </xf>
    <xf numFmtId="0" fontId="30" fillId="5" borderId="22" xfId="30" applyFill="1" applyBorder="1" applyAlignment="1">
      <alignment horizontal="center" vertical="center" textRotation="255"/>
    </xf>
    <xf numFmtId="0" fontId="30" fillId="5" borderId="21" xfId="30" applyFill="1" applyBorder="1" applyAlignment="1">
      <alignment horizontal="center" vertical="center" textRotation="255"/>
    </xf>
    <xf numFmtId="0" fontId="71" fillId="8" borderId="49" xfId="30" applyFont="1" applyFill="1" applyBorder="1" applyAlignment="1">
      <alignment horizontal="left" vertical="top" wrapText="1"/>
    </xf>
    <xf numFmtId="0" fontId="71" fillId="8" borderId="50" xfId="30" applyFont="1" applyFill="1" applyBorder="1" applyAlignment="1">
      <alignment horizontal="left" vertical="top" wrapText="1"/>
    </xf>
    <xf numFmtId="0" fontId="71" fillId="8" borderId="55" xfId="30" applyFont="1" applyFill="1" applyBorder="1" applyAlignment="1">
      <alignment horizontal="left" vertical="top" wrapText="1"/>
    </xf>
    <xf numFmtId="0" fontId="63" fillId="2" borderId="0" xfId="28" applyFont="1" applyFill="1" applyAlignment="1">
      <alignment horizontal="center" vertical="center"/>
    </xf>
    <xf numFmtId="0" fontId="26" fillId="4" borderId="30" xfId="29" applyFont="1" applyFill="1" applyBorder="1" applyAlignment="1">
      <alignment horizontal="left" vertical="center"/>
    </xf>
    <xf numFmtId="0" fontId="30" fillId="4" borderId="31" xfId="29" applyFill="1" applyBorder="1" applyAlignment="1">
      <alignment horizontal="left" vertical="center"/>
    </xf>
    <xf numFmtId="0" fontId="30" fillId="4" borderId="32" xfId="29" applyFill="1" applyBorder="1" applyAlignment="1">
      <alignment horizontal="left" vertical="center"/>
    </xf>
    <xf numFmtId="0" fontId="78" fillId="8" borderId="49" xfId="30" applyFont="1" applyFill="1" applyBorder="1" applyAlignment="1">
      <alignment horizontal="left" vertical="top" wrapText="1"/>
    </xf>
    <xf numFmtId="0" fontId="28" fillId="5" borderId="36" xfId="30" applyFont="1" applyFill="1" applyBorder="1" applyAlignment="1">
      <alignment horizontal="center" vertical="center"/>
    </xf>
    <xf numFmtId="0" fontId="28" fillId="5" borderId="38" xfId="30" applyFont="1" applyFill="1" applyBorder="1" applyAlignment="1">
      <alignment horizontal="center" vertical="center"/>
    </xf>
    <xf numFmtId="0" fontId="28" fillId="5" borderId="42" xfId="30" applyFont="1" applyFill="1" applyBorder="1" applyAlignment="1">
      <alignment horizontal="center" vertical="center"/>
    </xf>
    <xf numFmtId="0" fontId="30" fillId="5" borderId="36" xfId="30" applyFill="1" applyBorder="1" applyAlignment="1">
      <alignment horizontal="center"/>
    </xf>
    <xf numFmtId="0" fontId="30" fillId="5" borderId="38" xfId="30" applyFill="1" applyBorder="1" applyAlignment="1">
      <alignment horizontal="center"/>
    </xf>
    <xf numFmtId="0" fontId="30" fillId="5" borderId="42" xfId="30" applyFill="1" applyBorder="1" applyAlignment="1">
      <alignment horizontal="center"/>
    </xf>
    <xf numFmtId="0" fontId="30" fillId="5" borderId="36" xfId="30" applyFill="1" applyBorder="1" applyAlignment="1">
      <alignment horizontal="center" vertical="center"/>
    </xf>
    <xf numFmtId="0" fontId="30" fillId="5" borderId="38" xfId="30" applyFill="1" applyBorder="1" applyAlignment="1">
      <alignment horizontal="center" vertical="center"/>
    </xf>
    <xf numFmtId="0" fontId="30" fillId="5" borderId="42" xfId="30" applyFill="1" applyBorder="1" applyAlignment="1">
      <alignment horizontal="center" vertical="center"/>
    </xf>
    <xf numFmtId="0" fontId="48" fillId="5" borderId="6" xfId="29" applyFont="1" applyFill="1" applyBorder="1" applyAlignment="1">
      <alignment horizontal="center" vertical="center"/>
    </xf>
    <xf numFmtId="0" fontId="48" fillId="5" borderId="38" xfId="29" applyFont="1" applyFill="1" applyBorder="1" applyAlignment="1">
      <alignment horizontal="center" vertical="center"/>
    </xf>
    <xf numFmtId="0" fontId="48" fillId="5" borderId="37" xfId="29" applyFont="1" applyFill="1" applyBorder="1" applyAlignment="1">
      <alignment horizontal="center" vertical="center"/>
    </xf>
    <xf numFmtId="0" fontId="71" fillId="8" borderId="10" xfId="29" applyFont="1" applyFill="1" applyBorder="1" applyAlignment="1">
      <alignment horizontal="center" vertical="center"/>
    </xf>
    <xf numFmtId="0" fontId="71" fillId="8" borderId="11" xfId="29" applyFont="1" applyFill="1" applyBorder="1" applyAlignment="1">
      <alignment horizontal="center" vertical="center"/>
    </xf>
    <xf numFmtId="0" fontId="71" fillId="8" borderId="12" xfId="29" applyFont="1" applyFill="1" applyBorder="1" applyAlignment="1">
      <alignment horizontal="center" vertical="center"/>
    </xf>
    <xf numFmtId="0" fontId="69" fillId="8" borderId="13" xfId="29" applyFont="1" applyFill="1" applyBorder="1" applyAlignment="1">
      <alignment horizontal="center" vertical="center"/>
    </xf>
    <xf numFmtId="0" fontId="69" fillId="8" borderId="14" xfId="29" applyFont="1" applyFill="1" applyBorder="1" applyAlignment="1">
      <alignment horizontal="center" vertical="center"/>
    </xf>
    <xf numFmtId="0" fontId="69" fillId="8" borderId="15" xfId="29" applyFont="1" applyFill="1" applyBorder="1" applyAlignment="1">
      <alignment horizontal="center" vertical="center"/>
    </xf>
    <xf numFmtId="0" fontId="48" fillId="5" borderId="42" xfId="29" applyFont="1" applyFill="1" applyBorder="1" applyAlignment="1">
      <alignment horizontal="center" vertical="center"/>
    </xf>
    <xf numFmtId="0" fontId="71" fillId="8" borderId="16" xfId="29" applyFont="1" applyFill="1" applyBorder="1" applyAlignment="1">
      <alignment horizontal="center" vertical="center"/>
    </xf>
    <xf numFmtId="0" fontId="71" fillId="8" borderId="10" xfId="29" applyFont="1" applyFill="1" applyBorder="1" applyAlignment="1">
      <alignment horizontal="center" vertical="center" wrapText="1"/>
    </xf>
    <xf numFmtId="0" fontId="71" fillId="8" borderId="11" xfId="29" applyFont="1" applyFill="1" applyBorder="1" applyAlignment="1">
      <alignment horizontal="center" vertical="center" wrapText="1"/>
    </xf>
    <xf numFmtId="0" fontId="71" fillId="8" borderId="16" xfId="29" applyFont="1" applyFill="1" applyBorder="1" applyAlignment="1">
      <alignment horizontal="center" vertical="center" wrapText="1"/>
    </xf>
    <xf numFmtId="0" fontId="69" fillId="8" borderId="11" xfId="29" applyFont="1" applyFill="1" applyBorder="1" applyAlignment="1">
      <alignment horizontal="center" vertical="center"/>
    </xf>
    <xf numFmtId="0" fontId="69" fillId="8" borderId="16" xfId="29" applyFont="1" applyFill="1" applyBorder="1" applyAlignment="1">
      <alignment horizontal="center" vertical="center"/>
    </xf>
    <xf numFmtId="0" fontId="68" fillId="5" borderId="20" xfId="29" applyFont="1" applyFill="1" applyBorder="1" applyAlignment="1">
      <alignment horizontal="center" vertical="center" wrapText="1"/>
    </xf>
    <xf numFmtId="0" fontId="48" fillId="5" borderId="34" xfId="29" applyFont="1" applyFill="1" applyBorder="1" applyAlignment="1">
      <alignment horizontal="center" vertical="center"/>
    </xf>
    <xf numFmtId="0" fontId="48" fillId="5" borderId="47" xfId="29" applyFont="1" applyFill="1" applyBorder="1" applyAlignment="1">
      <alignment horizontal="center" vertical="center"/>
    </xf>
    <xf numFmtId="0" fontId="48" fillId="5" borderId="22" xfId="29" applyFont="1" applyFill="1" applyBorder="1" applyAlignment="1">
      <alignment horizontal="center" vertical="center"/>
    </xf>
    <xf numFmtId="0" fontId="48" fillId="5" borderId="0" xfId="29" applyFont="1" applyFill="1" applyAlignment="1">
      <alignment horizontal="center" vertical="center"/>
    </xf>
    <xf numFmtId="0" fontId="48" fillId="5" borderId="48" xfId="29" applyFont="1" applyFill="1" applyBorder="1" applyAlignment="1">
      <alignment horizontal="center" vertical="center"/>
    </xf>
    <xf numFmtId="0" fontId="48" fillId="5" borderId="21" xfId="29" applyFont="1" applyFill="1" applyBorder="1" applyAlignment="1">
      <alignment horizontal="center" vertical="center"/>
    </xf>
    <xf numFmtId="0" fontId="48" fillId="5" borderId="19" xfId="29" applyFont="1" applyFill="1" applyBorder="1" applyAlignment="1">
      <alignment horizontal="center" vertical="center"/>
    </xf>
    <xf numFmtId="0" fontId="48" fillId="5" borderId="59" xfId="29" applyFont="1" applyFill="1" applyBorder="1" applyAlignment="1">
      <alignment horizontal="center" vertical="center"/>
    </xf>
    <xf numFmtId="0" fontId="69" fillId="8" borderId="10" xfId="29" applyFont="1" applyFill="1" applyBorder="1" applyAlignment="1">
      <alignment horizontal="center" vertical="center"/>
    </xf>
    <xf numFmtId="0" fontId="69" fillId="8" borderId="12" xfId="29" applyFont="1" applyFill="1" applyBorder="1" applyAlignment="1">
      <alignment horizontal="center" vertical="center"/>
    </xf>
    <xf numFmtId="0" fontId="69" fillId="8" borderId="23" xfId="29" applyFont="1" applyFill="1" applyBorder="1" applyAlignment="1">
      <alignment horizontal="center" vertical="center"/>
    </xf>
    <xf numFmtId="0" fontId="71" fillId="8" borderId="13" xfId="29" applyFont="1" applyFill="1" applyBorder="1" applyAlignment="1">
      <alignment horizontal="center" vertical="center"/>
    </xf>
    <xf numFmtId="0" fontId="71" fillId="8" borderId="14" xfId="29" applyFont="1" applyFill="1" applyBorder="1" applyAlignment="1">
      <alignment horizontal="center" vertical="center"/>
    </xf>
    <xf numFmtId="0" fontId="71" fillId="8" borderId="23" xfId="29" applyFont="1" applyFill="1" applyBorder="1" applyAlignment="1">
      <alignment horizontal="center" vertical="center"/>
    </xf>
    <xf numFmtId="6" fontId="71" fillId="8" borderId="10" xfId="29" applyNumberFormat="1" applyFont="1" applyFill="1" applyBorder="1" applyAlignment="1">
      <alignment horizontal="center" vertical="center"/>
    </xf>
    <xf numFmtId="0" fontId="79" fillId="8" borderId="58" xfId="29" applyFont="1" applyFill="1" applyBorder="1" applyAlignment="1">
      <alignment vertical="top" wrapText="1"/>
    </xf>
    <xf numFmtId="0" fontId="80" fillId="8" borderId="34" xfId="29" applyFont="1" applyFill="1" applyBorder="1" applyAlignment="1">
      <alignment vertical="top" wrapText="1"/>
    </xf>
    <xf numFmtId="0" fontId="80" fillId="8" borderId="35" xfId="29" applyFont="1" applyFill="1" applyBorder="1" applyAlignment="1">
      <alignment vertical="top" wrapText="1"/>
    </xf>
    <xf numFmtId="0" fontId="80" fillId="8" borderId="56" xfId="29" applyFont="1" applyFill="1" applyBorder="1" applyAlignment="1">
      <alignment vertical="top" wrapText="1"/>
    </xf>
    <xf numFmtId="0" fontId="80" fillId="8" borderId="0" xfId="29" applyFont="1" applyFill="1" applyAlignment="1">
      <alignment vertical="top" wrapText="1"/>
    </xf>
    <xf numFmtId="0" fontId="80" fillId="8" borderId="29" xfId="29" applyFont="1" applyFill="1" applyBorder="1" applyAlignment="1">
      <alignment vertical="top" wrapText="1"/>
    </xf>
    <xf numFmtId="0" fontId="80" fillId="8" borderId="57" xfId="29" applyFont="1" applyFill="1" applyBorder="1" applyAlignment="1">
      <alignment vertical="top" wrapText="1"/>
    </xf>
    <xf numFmtId="0" fontId="80" fillId="8" borderId="19" xfId="29" applyFont="1" applyFill="1" applyBorder="1" applyAlignment="1">
      <alignment vertical="top" wrapText="1"/>
    </xf>
    <xf numFmtId="0" fontId="80" fillId="8" borderId="25" xfId="29" applyFont="1" applyFill="1" applyBorder="1" applyAlignment="1">
      <alignment vertical="top" wrapText="1"/>
    </xf>
    <xf numFmtId="0" fontId="47" fillId="2" borderId="0" xfId="27" applyFont="1" applyFill="1" applyAlignment="1">
      <alignment horizontal="left" vertical="center"/>
    </xf>
    <xf numFmtId="0" fontId="48" fillId="4" borderId="30" xfId="29" applyFont="1" applyFill="1" applyBorder="1" applyAlignment="1">
      <alignment horizontal="left" vertical="center"/>
    </xf>
    <xf numFmtId="0" fontId="48" fillId="4" borderId="31" xfId="29" applyFont="1" applyFill="1" applyBorder="1" applyAlignment="1">
      <alignment horizontal="left" vertical="center"/>
    </xf>
    <xf numFmtId="0" fontId="48" fillId="4" borderId="32" xfId="29" applyFont="1" applyFill="1" applyBorder="1" applyAlignment="1">
      <alignment horizontal="left" vertical="center"/>
    </xf>
    <xf numFmtId="0" fontId="71" fillId="8" borderId="58" xfId="29" applyFont="1" applyFill="1" applyBorder="1" applyAlignment="1">
      <alignment vertical="top" wrapText="1"/>
    </xf>
    <xf numFmtId="0" fontId="68" fillId="5" borderId="22" xfId="29" applyFont="1" applyFill="1" applyBorder="1" applyAlignment="1">
      <alignment horizontal="center" vertical="center" wrapText="1"/>
    </xf>
    <xf numFmtId="0" fontId="71" fillId="8" borderId="58" xfId="29" applyFont="1" applyFill="1" applyBorder="1" applyAlignment="1">
      <alignment vertical="center" wrapText="1"/>
    </xf>
    <xf numFmtId="0" fontId="71" fillId="8" borderId="34" xfId="29" applyFont="1" applyFill="1" applyBorder="1" applyAlignment="1">
      <alignment vertical="center" wrapText="1"/>
    </xf>
    <xf numFmtId="0" fontId="71" fillId="8" borderId="35" xfId="29" applyFont="1" applyFill="1" applyBorder="1" applyAlignment="1">
      <alignment vertical="center" wrapText="1"/>
    </xf>
    <xf numFmtId="0" fontId="71" fillId="8" borderId="56" xfId="29" applyFont="1" applyFill="1" applyBorder="1" applyAlignment="1">
      <alignment vertical="center" wrapText="1"/>
    </xf>
    <xf numFmtId="0" fontId="71" fillId="8" borderId="0" xfId="29" applyFont="1" applyFill="1" applyAlignment="1">
      <alignment vertical="center" wrapText="1"/>
    </xf>
    <xf numFmtId="0" fontId="71" fillId="8" borderId="29" xfId="29" applyFont="1" applyFill="1" applyBorder="1" applyAlignment="1">
      <alignment vertical="center" wrapText="1"/>
    </xf>
    <xf numFmtId="0" fontId="71" fillId="8" borderId="57" xfId="29" applyFont="1" applyFill="1" applyBorder="1" applyAlignment="1">
      <alignment vertical="center" wrapText="1"/>
    </xf>
    <xf numFmtId="0" fontId="71" fillId="8" borderId="19" xfId="29" applyFont="1" applyFill="1" applyBorder="1" applyAlignment="1">
      <alignment vertical="center" wrapText="1"/>
    </xf>
    <xf numFmtId="0" fontId="71" fillId="8" borderId="25" xfId="29" applyFont="1" applyFill="1" applyBorder="1" applyAlignment="1">
      <alignment vertical="center" wrapText="1"/>
    </xf>
    <xf numFmtId="0" fontId="79" fillId="8" borderId="34" xfId="29" applyFont="1" applyFill="1" applyBorder="1" applyAlignment="1">
      <alignment horizontal="left" vertical="center" wrapText="1"/>
    </xf>
    <xf numFmtId="0" fontId="69" fillId="8" borderId="34" xfId="29" applyFont="1" applyFill="1" applyBorder="1" applyAlignment="1">
      <alignment horizontal="left" vertical="center" wrapText="1"/>
    </xf>
    <xf numFmtId="0" fontId="69" fillId="8" borderId="35" xfId="29" applyFont="1" applyFill="1" applyBorder="1" applyAlignment="1">
      <alignment horizontal="left" vertical="center" wrapText="1"/>
    </xf>
    <xf numFmtId="0" fontId="79" fillId="8" borderId="0" xfId="29" applyFont="1" applyFill="1" applyAlignment="1">
      <alignment horizontal="left" vertical="center" wrapText="1"/>
    </xf>
    <xf numFmtId="0" fontId="69" fillId="8" borderId="0" xfId="29" applyFont="1" applyFill="1" applyAlignment="1">
      <alignment horizontal="left" vertical="center" wrapText="1"/>
    </xf>
    <xf numFmtId="0" fontId="69" fillId="8" borderId="29" xfId="29" applyFont="1" applyFill="1" applyBorder="1" applyAlignment="1">
      <alignment horizontal="left" vertical="center" wrapText="1"/>
    </xf>
    <xf numFmtId="0" fontId="69" fillId="8" borderId="19" xfId="29" applyFont="1" applyFill="1" applyBorder="1" applyAlignment="1">
      <alignment horizontal="left" vertical="center" wrapText="1"/>
    </xf>
    <xf numFmtId="0" fontId="69" fillId="8" borderId="25" xfId="29" applyFont="1" applyFill="1" applyBorder="1" applyAlignment="1">
      <alignment horizontal="left" vertical="center" wrapText="1"/>
    </xf>
    <xf numFmtId="0" fontId="81" fillId="8" borderId="20" xfId="29" applyFont="1" applyFill="1" applyBorder="1" applyAlignment="1" applyProtection="1">
      <alignment vertical="center" wrapText="1"/>
      <protection locked="0"/>
    </xf>
    <xf numFmtId="0" fontId="70" fillId="8" borderId="34" xfId="29" applyFont="1" applyFill="1" applyBorder="1" applyAlignment="1" applyProtection="1">
      <alignment vertical="center" wrapText="1"/>
      <protection locked="0"/>
    </xf>
    <xf numFmtId="0" fontId="70" fillId="8" borderId="35" xfId="29" applyFont="1" applyFill="1" applyBorder="1" applyAlignment="1" applyProtection="1">
      <alignment vertical="center" wrapText="1"/>
      <protection locked="0"/>
    </xf>
    <xf numFmtId="0" fontId="70" fillId="8" borderId="22" xfId="29" applyFont="1" applyFill="1" applyBorder="1" applyAlignment="1" applyProtection="1">
      <alignment vertical="center" wrapText="1"/>
      <protection locked="0"/>
    </xf>
    <xf numFmtId="0" fontId="70" fillId="8" borderId="0" xfId="29" applyFont="1" applyFill="1" applyAlignment="1" applyProtection="1">
      <alignment vertical="center" wrapText="1"/>
      <protection locked="0"/>
    </xf>
    <xf numFmtId="0" fontId="70" fillId="8" borderId="29" xfId="29" applyFont="1" applyFill="1" applyBorder="1" applyAlignment="1" applyProtection="1">
      <alignment vertical="center" wrapText="1"/>
      <protection locked="0"/>
    </xf>
    <xf numFmtId="0" fontId="70" fillId="8" borderId="52" xfId="29" applyFont="1" applyFill="1" applyBorder="1" applyAlignment="1" applyProtection="1">
      <alignment vertical="center" wrapText="1"/>
      <protection locked="0"/>
    </xf>
    <xf numFmtId="0" fontId="70" fillId="8" borderId="53" xfId="29" applyFont="1" applyFill="1" applyBorder="1" applyAlignment="1" applyProtection="1">
      <alignment vertical="center" wrapText="1"/>
      <protection locked="0"/>
    </xf>
    <xf numFmtId="0" fontId="70" fillId="8" borderId="60" xfId="29" applyFont="1" applyFill="1" applyBorder="1" applyAlignment="1" applyProtection="1">
      <alignment vertical="center" wrapText="1"/>
      <protection locked="0"/>
    </xf>
    <xf numFmtId="0" fontId="79" fillId="8" borderId="20" xfId="30" applyFont="1" applyFill="1" applyBorder="1" applyAlignment="1" applyProtection="1">
      <alignment vertical="top" wrapText="1"/>
      <protection locked="0"/>
    </xf>
    <xf numFmtId="0" fontId="69" fillId="8" borderId="34" xfId="30" applyFont="1" applyFill="1" applyBorder="1" applyAlignment="1" applyProtection="1">
      <alignment vertical="top" wrapText="1"/>
      <protection locked="0"/>
    </xf>
    <xf numFmtId="0" fontId="69" fillId="8" borderId="35" xfId="30" applyFont="1" applyFill="1" applyBorder="1" applyAlignment="1" applyProtection="1">
      <alignment vertical="top" wrapText="1"/>
      <protection locked="0"/>
    </xf>
    <xf numFmtId="0" fontId="69" fillId="8" borderId="22" xfId="30" applyFont="1" applyFill="1" applyBorder="1" applyAlignment="1" applyProtection="1">
      <alignment vertical="top" wrapText="1"/>
      <protection locked="0"/>
    </xf>
    <xf numFmtId="0" fontId="69" fillId="8" borderId="0" xfId="30" applyFont="1" applyFill="1" applyAlignment="1" applyProtection="1">
      <alignment vertical="top" wrapText="1"/>
      <protection locked="0"/>
    </xf>
    <xf numFmtId="0" fontId="69" fillId="8" borderId="29" xfId="30" applyFont="1" applyFill="1" applyBorder="1" applyAlignment="1" applyProtection="1">
      <alignment vertical="top" wrapText="1"/>
      <protection locked="0"/>
    </xf>
    <xf numFmtId="0" fontId="69" fillId="8" borderId="21" xfId="30" applyFont="1" applyFill="1" applyBorder="1" applyAlignment="1" applyProtection="1">
      <alignment vertical="top" wrapText="1"/>
      <protection locked="0"/>
    </xf>
    <xf numFmtId="0" fontId="69" fillId="8" borderId="19" xfId="30" applyFont="1" applyFill="1" applyBorder="1" applyAlignment="1" applyProtection="1">
      <alignment vertical="top" wrapText="1"/>
      <protection locked="0"/>
    </xf>
    <xf numFmtId="0" fontId="69" fillId="8" borderId="25" xfId="30" applyFont="1" applyFill="1" applyBorder="1" applyAlignment="1" applyProtection="1">
      <alignment vertical="top" wrapText="1"/>
      <protection locked="0"/>
    </xf>
    <xf numFmtId="0" fontId="79" fillId="8" borderId="6" xfId="30" applyFont="1" applyFill="1" applyBorder="1" applyAlignment="1" applyProtection="1">
      <alignment vertical="top" wrapText="1"/>
      <protection locked="0"/>
    </xf>
    <xf numFmtId="0" fontId="48" fillId="8" borderId="38" xfId="30" applyFont="1" applyFill="1" applyBorder="1" applyAlignment="1" applyProtection="1">
      <alignment vertical="top" wrapText="1"/>
      <protection locked="0"/>
    </xf>
    <xf numFmtId="0" fontId="48" fillId="8" borderId="42" xfId="30" applyFont="1" applyFill="1" applyBorder="1" applyAlignment="1" applyProtection="1">
      <alignment vertical="top" wrapText="1"/>
      <protection locked="0"/>
    </xf>
    <xf numFmtId="0" fontId="71" fillId="8" borderId="10" xfId="30" applyFont="1" applyFill="1" applyBorder="1" applyAlignment="1" applyProtection="1">
      <alignment vertical="center" wrapText="1"/>
      <protection locked="0"/>
    </xf>
    <xf numFmtId="0" fontId="71" fillId="8" borderId="11" xfId="30" applyFont="1" applyFill="1" applyBorder="1" applyAlignment="1" applyProtection="1">
      <alignment vertical="center" wrapText="1"/>
      <protection locked="0"/>
    </xf>
    <xf numFmtId="0" fontId="71" fillId="8" borderId="16" xfId="30" applyFont="1" applyFill="1" applyBorder="1" applyAlignment="1" applyProtection="1">
      <alignment vertical="center" wrapText="1"/>
      <protection locked="0"/>
    </xf>
    <xf numFmtId="0" fontId="71" fillId="8" borderId="6" xfId="30" applyFont="1" applyFill="1" applyBorder="1" applyAlignment="1" applyProtection="1">
      <alignment vertical="center" wrapText="1"/>
      <protection locked="0"/>
    </xf>
    <xf numFmtId="0" fontId="71" fillId="8" borderId="38" xfId="30" applyFont="1" applyFill="1" applyBorder="1" applyAlignment="1" applyProtection="1">
      <alignment vertical="center" wrapText="1"/>
      <protection locked="0"/>
    </xf>
    <xf numFmtId="0" fontId="71" fillId="8" borderId="42" xfId="30" applyFont="1" applyFill="1" applyBorder="1" applyAlignment="1" applyProtection="1">
      <alignment vertical="center" wrapText="1"/>
      <protection locked="0"/>
    </xf>
    <xf numFmtId="0" fontId="71" fillId="8" borderId="13" xfId="30" applyFont="1" applyFill="1" applyBorder="1" applyAlignment="1" applyProtection="1">
      <alignment vertical="center" wrapText="1"/>
      <protection locked="0"/>
    </xf>
    <xf numFmtId="0" fontId="71" fillId="8" borderId="14" xfId="30" applyFont="1" applyFill="1" applyBorder="1" applyAlignment="1" applyProtection="1">
      <alignment vertical="center" wrapText="1"/>
      <protection locked="0"/>
    </xf>
    <xf numFmtId="0" fontId="71" fillId="8" borderId="15" xfId="30" applyFont="1" applyFill="1" applyBorder="1" applyAlignment="1" applyProtection="1">
      <alignment vertical="center" wrapText="1"/>
      <protection locked="0"/>
    </xf>
    <xf numFmtId="0" fontId="48" fillId="5" borderId="30" xfId="30" applyFont="1" applyFill="1" applyBorder="1" applyAlignment="1">
      <alignment horizontal="center" vertical="center"/>
    </xf>
    <xf numFmtId="0" fontId="48" fillId="5" borderId="31" xfId="30" applyFont="1" applyFill="1" applyBorder="1" applyAlignment="1">
      <alignment horizontal="center" vertical="center"/>
    </xf>
    <xf numFmtId="0" fontId="48" fillId="5" borderId="33" xfId="30" applyFont="1" applyFill="1" applyBorder="1" applyAlignment="1">
      <alignment horizontal="center" vertical="center"/>
    </xf>
    <xf numFmtId="0" fontId="48" fillId="5" borderId="28" xfId="30" applyFont="1" applyFill="1" applyBorder="1" applyAlignment="1">
      <alignment horizontal="center" vertical="center"/>
    </xf>
    <xf numFmtId="0" fontId="48" fillId="2" borderId="13" xfId="30" applyFont="1" applyFill="1" applyBorder="1" applyAlignment="1">
      <alignment horizontal="center" vertical="center"/>
    </xf>
    <xf numFmtId="0" fontId="48" fillId="2" borderId="23" xfId="30" applyFont="1" applyFill="1" applyBorder="1" applyAlignment="1">
      <alignment horizontal="center" vertical="center"/>
    </xf>
    <xf numFmtId="176" fontId="48" fillId="8" borderId="13" xfId="30" applyNumberFormat="1" applyFont="1" applyFill="1" applyBorder="1" applyAlignment="1" applyProtection="1">
      <alignment horizontal="right" vertical="center"/>
      <protection locked="0"/>
    </xf>
    <xf numFmtId="176" fontId="48" fillId="8" borderId="14" xfId="30" applyNumberFormat="1" applyFont="1" applyFill="1" applyBorder="1" applyAlignment="1" applyProtection="1">
      <alignment horizontal="right" vertical="center"/>
      <protection locked="0"/>
    </xf>
    <xf numFmtId="0" fontId="48" fillId="5" borderId="32" xfId="30" applyFont="1" applyFill="1" applyBorder="1" applyAlignment="1">
      <alignment horizontal="center" vertical="center"/>
    </xf>
    <xf numFmtId="0" fontId="48" fillId="5" borderId="20" xfId="30" applyFont="1" applyFill="1" applyBorder="1" applyAlignment="1">
      <alignment horizontal="center" vertical="center"/>
    </xf>
    <xf numFmtId="0" fontId="48" fillId="5" borderId="34" xfId="30" applyFont="1" applyFill="1" applyBorder="1" applyAlignment="1">
      <alignment horizontal="center" vertical="center"/>
    </xf>
    <xf numFmtId="0" fontId="48" fillId="5" borderId="47" xfId="30" applyFont="1" applyFill="1" applyBorder="1" applyAlignment="1">
      <alignment horizontal="center" vertical="center"/>
    </xf>
    <xf numFmtId="0" fontId="48" fillId="5" borderId="22" xfId="30" applyFont="1" applyFill="1" applyBorder="1" applyAlignment="1">
      <alignment horizontal="center" vertical="center"/>
    </xf>
    <xf numFmtId="0" fontId="48" fillId="5" borderId="0" xfId="30" applyFont="1" applyFill="1" applyAlignment="1">
      <alignment horizontal="center" vertical="center"/>
    </xf>
    <xf numFmtId="0" fontId="48" fillId="5" borderId="48" xfId="30" applyFont="1" applyFill="1" applyBorder="1" applyAlignment="1">
      <alignment horizontal="center" vertical="center"/>
    </xf>
    <xf numFmtId="0" fontId="48" fillId="5" borderId="21" xfId="30" applyFont="1" applyFill="1" applyBorder="1" applyAlignment="1">
      <alignment horizontal="center" vertical="center"/>
    </xf>
    <xf numFmtId="0" fontId="48" fillId="5" borderId="19" xfId="30" applyFont="1" applyFill="1" applyBorder="1" applyAlignment="1">
      <alignment horizontal="center" vertical="center"/>
    </xf>
    <xf numFmtId="0" fontId="48" fillId="5" borderId="59" xfId="30" applyFont="1" applyFill="1" applyBorder="1" applyAlignment="1">
      <alignment horizontal="center" vertical="center"/>
    </xf>
    <xf numFmtId="0" fontId="48" fillId="2" borderId="6" xfId="30" applyFont="1" applyFill="1" applyBorder="1" applyAlignment="1">
      <alignment horizontal="center" vertical="center"/>
    </xf>
    <xf numFmtId="0" fontId="48" fillId="2" borderId="37" xfId="30" applyFont="1" applyFill="1" applyBorder="1" applyAlignment="1">
      <alignment horizontal="center" vertical="center"/>
    </xf>
    <xf numFmtId="176" fontId="48" fillId="8" borderId="6" xfId="30" applyNumberFormat="1" applyFont="1" applyFill="1" applyBorder="1" applyProtection="1">
      <alignment vertical="center"/>
      <protection locked="0"/>
    </xf>
    <xf numFmtId="176" fontId="48" fillId="8" borderId="38" xfId="30" applyNumberFormat="1" applyFont="1" applyFill="1" applyBorder="1" applyProtection="1">
      <alignment vertical="center"/>
      <protection locked="0"/>
    </xf>
    <xf numFmtId="0" fontId="48" fillId="2" borderId="10" xfId="30" applyFont="1" applyFill="1" applyBorder="1" applyAlignment="1">
      <alignment horizontal="center" vertical="center"/>
    </xf>
    <xf numFmtId="0" fontId="48" fillId="2" borderId="12" xfId="30" applyFont="1" applyFill="1" applyBorder="1" applyAlignment="1">
      <alignment horizontal="center" vertical="center"/>
    </xf>
    <xf numFmtId="176" fontId="48" fillId="8" borderId="10" xfId="30" applyNumberFormat="1" applyFont="1" applyFill="1" applyBorder="1" applyProtection="1">
      <alignment vertical="center"/>
      <protection locked="0"/>
    </xf>
    <xf numFmtId="176" fontId="48" fillId="8" borderId="11" xfId="30" applyNumberFormat="1" applyFont="1" applyFill="1" applyBorder="1" applyProtection="1">
      <alignment vertical="center"/>
      <protection locked="0"/>
    </xf>
    <xf numFmtId="176" fontId="48" fillId="8" borderId="13" xfId="30" applyNumberFormat="1" applyFont="1" applyFill="1" applyBorder="1" applyProtection="1">
      <alignment vertical="center"/>
      <protection locked="0"/>
    </xf>
    <xf numFmtId="176" fontId="48" fillId="8" borderId="14" xfId="30" applyNumberFormat="1" applyFont="1" applyFill="1" applyBorder="1" applyProtection="1">
      <alignment vertical="center"/>
      <protection locked="0"/>
    </xf>
    <xf numFmtId="0" fontId="48" fillId="8" borderId="54" xfId="29" applyFont="1" applyFill="1" applyBorder="1" applyAlignment="1" applyProtection="1">
      <alignment vertical="center" wrapText="1"/>
      <protection locked="0"/>
    </xf>
    <xf numFmtId="0" fontId="48" fillId="8" borderId="50" xfId="29" applyFont="1" applyFill="1" applyBorder="1" applyAlignment="1" applyProtection="1">
      <alignment vertical="center" wrapText="1"/>
      <protection locked="0"/>
    </xf>
    <xf numFmtId="0" fontId="48" fillId="8" borderId="55" xfId="29" applyFont="1" applyFill="1" applyBorder="1" applyAlignment="1" applyProtection="1">
      <alignment vertical="center" wrapText="1"/>
      <protection locked="0"/>
    </xf>
    <xf numFmtId="0" fontId="48" fillId="8" borderId="56" xfId="29" applyFont="1" applyFill="1" applyBorder="1" applyAlignment="1" applyProtection="1">
      <alignment vertical="center" wrapText="1"/>
      <protection locked="0"/>
    </xf>
    <xf numFmtId="0" fontId="48" fillId="8" borderId="0" xfId="29" applyFont="1" applyFill="1" applyAlignment="1" applyProtection="1">
      <alignment vertical="center" wrapText="1"/>
      <protection locked="0"/>
    </xf>
    <xf numFmtId="0" fontId="48" fillId="8" borderId="29" xfId="29" applyFont="1" applyFill="1" applyBorder="1" applyAlignment="1" applyProtection="1">
      <alignment vertical="center" wrapText="1"/>
      <protection locked="0"/>
    </xf>
    <xf numFmtId="0" fontId="48" fillId="8" borderId="57" xfId="29" applyFont="1" applyFill="1" applyBorder="1" applyAlignment="1" applyProtection="1">
      <alignment vertical="center" wrapText="1"/>
      <protection locked="0"/>
    </xf>
    <xf numFmtId="0" fontId="48" fillId="8" borderId="19" xfId="29" applyFont="1" applyFill="1" applyBorder="1" applyAlignment="1" applyProtection="1">
      <alignment vertical="center" wrapText="1"/>
      <protection locked="0"/>
    </xf>
    <xf numFmtId="0" fontId="48" fillId="8" borderId="25" xfId="29" applyFont="1" applyFill="1" applyBorder="1" applyAlignment="1" applyProtection="1">
      <alignment vertical="center" wrapText="1"/>
      <protection locked="0"/>
    </xf>
    <xf numFmtId="0" fontId="26" fillId="4" borderId="30" xfId="29" applyFont="1" applyFill="1" applyBorder="1">
      <alignment vertical="center"/>
    </xf>
    <xf numFmtId="0" fontId="30" fillId="4" borderId="31" xfId="29" applyFill="1" applyBorder="1">
      <alignment vertical="center"/>
    </xf>
    <xf numFmtId="0" fontId="30" fillId="4" borderId="32" xfId="29" applyFill="1" applyBorder="1">
      <alignment vertical="center"/>
    </xf>
    <xf numFmtId="0" fontId="48" fillId="5" borderId="43" xfId="29" applyFont="1" applyFill="1" applyBorder="1" applyAlignment="1">
      <alignment horizontal="center" vertical="center"/>
    </xf>
    <xf numFmtId="0" fontId="48" fillId="5" borderId="12" xfId="29" applyFont="1" applyFill="1" applyBorder="1" applyAlignment="1">
      <alignment horizontal="center" vertical="center"/>
    </xf>
    <xf numFmtId="0" fontId="48" fillId="8" borderId="10" xfId="29" applyFont="1" applyFill="1" applyBorder="1" applyProtection="1">
      <alignment vertical="center"/>
      <protection locked="0"/>
    </xf>
    <xf numFmtId="0" fontId="48" fillId="8" borderId="11" xfId="29" applyFont="1" applyFill="1" applyBorder="1" applyProtection="1">
      <alignment vertical="center"/>
      <protection locked="0"/>
    </xf>
    <xf numFmtId="0" fontId="48" fillId="8" borderId="12" xfId="29" applyFont="1" applyFill="1" applyBorder="1" applyProtection="1">
      <alignment vertical="center"/>
      <protection locked="0"/>
    </xf>
    <xf numFmtId="0" fontId="48" fillId="5" borderId="54" xfId="29" applyFont="1" applyFill="1" applyBorder="1" applyAlignment="1">
      <alignment horizontal="center" vertical="center" wrapText="1"/>
    </xf>
    <xf numFmtId="0" fontId="48" fillId="5" borderId="51" xfId="29" applyFont="1" applyFill="1" applyBorder="1" applyAlignment="1">
      <alignment horizontal="center" vertical="center"/>
    </xf>
    <xf numFmtId="0" fontId="48" fillId="5" borderId="56" xfId="29" applyFont="1" applyFill="1" applyBorder="1" applyAlignment="1">
      <alignment horizontal="center" vertical="center"/>
    </xf>
    <xf numFmtId="0" fontId="48" fillId="5" borderId="57" xfId="29" applyFont="1" applyFill="1" applyBorder="1" applyAlignment="1">
      <alignment horizontal="center" vertical="center"/>
    </xf>
    <xf numFmtId="0" fontId="48" fillId="5" borderId="26" xfId="29" applyFont="1" applyFill="1" applyBorder="1" applyAlignment="1">
      <alignment horizontal="center" vertical="center"/>
    </xf>
    <xf numFmtId="0" fontId="48" fillId="5" borderId="23" xfId="29" applyFont="1" applyFill="1" applyBorder="1" applyAlignment="1">
      <alignment horizontal="center" vertical="center"/>
    </xf>
    <xf numFmtId="0" fontId="48" fillId="8" borderId="13" xfId="29" applyFont="1" applyFill="1" applyBorder="1" applyProtection="1">
      <alignment vertical="center"/>
      <protection locked="0"/>
    </xf>
    <xf numFmtId="0" fontId="48" fillId="8" borderId="14" xfId="29" applyFont="1" applyFill="1" applyBorder="1" applyProtection="1">
      <alignment vertical="center"/>
      <protection locked="0"/>
    </xf>
    <xf numFmtId="0" fontId="48" fillId="8" borderId="23" xfId="29" applyFont="1" applyFill="1" applyBorder="1" applyProtection="1">
      <alignment vertical="center"/>
      <protection locked="0"/>
    </xf>
    <xf numFmtId="0" fontId="27" fillId="4" borderId="20" xfId="27" applyFont="1" applyFill="1" applyBorder="1" applyAlignment="1">
      <alignment horizontal="left" vertical="center" wrapText="1"/>
    </xf>
    <xf numFmtId="0" fontId="30" fillId="4" borderId="34" xfId="27" applyFill="1" applyBorder="1" applyAlignment="1">
      <alignment horizontal="left" vertical="center"/>
    </xf>
    <xf numFmtId="0" fontId="30" fillId="4" borderId="35" xfId="27" applyFill="1" applyBorder="1" applyAlignment="1">
      <alignment horizontal="left" vertical="center"/>
    </xf>
    <xf numFmtId="0" fontId="30" fillId="4" borderId="52" xfId="27" applyFill="1" applyBorder="1" applyAlignment="1">
      <alignment horizontal="left" vertical="center"/>
    </xf>
    <xf numFmtId="0" fontId="30" fillId="4" borderId="53" xfId="27" applyFill="1" applyBorder="1" applyAlignment="1">
      <alignment horizontal="left" vertical="center"/>
    </xf>
    <xf numFmtId="0" fontId="30" fillId="4" borderId="60" xfId="27" applyFill="1" applyBorder="1" applyAlignment="1">
      <alignment horizontal="left" vertical="center"/>
    </xf>
    <xf numFmtId="0" fontId="70" fillId="8" borderId="49" xfId="27" applyFont="1" applyFill="1" applyBorder="1" applyAlignment="1" applyProtection="1">
      <alignment vertical="top" wrapText="1"/>
      <protection locked="0"/>
    </xf>
    <xf numFmtId="0" fontId="70" fillId="8" borderId="50" xfId="27" applyFont="1" applyFill="1" applyBorder="1" applyAlignment="1" applyProtection="1">
      <alignment vertical="top" wrapText="1"/>
      <protection locked="0"/>
    </xf>
    <xf numFmtId="0" fontId="70" fillId="8" borderId="55" xfId="27" applyFont="1" applyFill="1" applyBorder="1" applyAlignment="1" applyProtection="1">
      <alignment vertical="top" wrapText="1"/>
      <protection locked="0"/>
    </xf>
    <xf numFmtId="0" fontId="70" fillId="8" borderId="22" xfId="27" applyFont="1" applyFill="1" applyBorder="1" applyAlignment="1" applyProtection="1">
      <alignment vertical="top" wrapText="1"/>
      <protection locked="0"/>
    </xf>
    <xf numFmtId="0" fontId="70" fillId="8" borderId="0" xfId="27" applyFont="1" applyFill="1" applyAlignment="1" applyProtection="1">
      <alignment vertical="top" wrapText="1"/>
      <protection locked="0"/>
    </xf>
    <xf numFmtId="0" fontId="70" fillId="8" borderId="29" xfId="27" applyFont="1" applyFill="1" applyBorder="1" applyAlignment="1" applyProtection="1">
      <alignment vertical="top" wrapText="1"/>
      <protection locked="0"/>
    </xf>
    <xf numFmtId="0" fontId="70" fillId="8" borderId="21" xfId="27" applyFont="1" applyFill="1" applyBorder="1" applyAlignment="1" applyProtection="1">
      <alignment vertical="top" wrapText="1"/>
      <protection locked="0"/>
    </xf>
    <xf numFmtId="0" fontId="70" fillId="8" borderId="19" xfId="27" applyFont="1" applyFill="1" applyBorder="1" applyAlignment="1" applyProtection="1">
      <alignment vertical="top" wrapText="1"/>
      <protection locked="0"/>
    </xf>
    <xf numFmtId="0" fontId="70" fillId="8" borderId="25" xfId="27" applyFont="1" applyFill="1" applyBorder="1" applyAlignment="1" applyProtection="1">
      <alignment vertical="top" wrapText="1"/>
      <protection locked="0"/>
    </xf>
    <xf numFmtId="0" fontId="68" fillId="4" borderId="20" xfId="27" applyFont="1" applyFill="1" applyBorder="1" applyAlignment="1">
      <alignment horizontal="left" vertical="center" wrapText="1"/>
    </xf>
    <xf numFmtId="0" fontId="48" fillId="4" borderId="34" xfId="27" applyFont="1" applyFill="1" applyBorder="1" applyAlignment="1">
      <alignment horizontal="left" vertical="center" wrapText="1"/>
    </xf>
    <xf numFmtId="0" fontId="48" fillId="4" borderId="35" xfId="27" applyFont="1" applyFill="1" applyBorder="1" applyAlignment="1">
      <alignment horizontal="left" vertical="center" wrapText="1"/>
    </xf>
    <xf numFmtId="0" fontId="48" fillId="4" borderId="52" xfId="27" applyFont="1" applyFill="1" applyBorder="1" applyAlignment="1">
      <alignment horizontal="left" vertical="center" wrapText="1"/>
    </xf>
    <xf numFmtId="0" fontId="48" fillId="4" borderId="53" xfId="27" applyFont="1" applyFill="1" applyBorder="1" applyAlignment="1">
      <alignment horizontal="left" vertical="center" wrapText="1"/>
    </xf>
    <xf numFmtId="0" fontId="48" fillId="4" borderId="60" xfId="27" applyFont="1" applyFill="1" applyBorder="1" applyAlignment="1">
      <alignment horizontal="left" vertical="center" wrapText="1"/>
    </xf>
    <xf numFmtId="0" fontId="48" fillId="4" borderId="20" xfId="27" applyFont="1" applyFill="1" applyBorder="1" applyAlignment="1">
      <alignment horizontal="left" vertical="center"/>
    </xf>
    <xf numFmtId="0" fontId="48" fillId="4" borderId="34" xfId="27" applyFont="1" applyFill="1" applyBorder="1" applyAlignment="1">
      <alignment horizontal="left" vertical="center"/>
    </xf>
    <xf numFmtId="0" fontId="48" fillId="4" borderId="35" xfId="27" applyFont="1" applyFill="1" applyBorder="1" applyAlignment="1">
      <alignment horizontal="left" vertical="center"/>
    </xf>
    <xf numFmtId="0" fontId="48" fillId="4" borderId="52" xfId="27" applyFont="1" applyFill="1" applyBorder="1" applyAlignment="1">
      <alignment horizontal="left" vertical="center"/>
    </xf>
    <xf numFmtId="0" fontId="48" fillId="4" borderId="53" xfId="27" applyFont="1" applyFill="1" applyBorder="1" applyAlignment="1">
      <alignment horizontal="left" vertical="center"/>
    </xf>
    <xf numFmtId="0" fontId="48" fillId="4" borderId="60" xfId="27" applyFont="1" applyFill="1" applyBorder="1" applyAlignment="1">
      <alignment horizontal="left" vertical="center"/>
    </xf>
    <xf numFmtId="0" fontId="70" fillId="8" borderId="49" xfId="27" applyFont="1" applyFill="1" applyBorder="1" applyAlignment="1" applyProtection="1">
      <alignment vertical="center" wrapText="1"/>
      <protection locked="0"/>
    </xf>
    <xf numFmtId="0" fontId="70" fillId="8" borderId="50" xfId="27" applyFont="1" applyFill="1" applyBorder="1" applyAlignment="1" applyProtection="1">
      <alignment vertical="center" wrapText="1"/>
      <protection locked="0"/>
    </xf>
    <xf numFmtId="0" fontId="70" fillId="8" borderId="55" xfId="27" applyFont="1" applyFill="1" applyBorder="1" applyAlignment="1" applyProtection="1">
      <alignment vertical="center" wrapText="1"/>
      <protection locked="0"/>
    </xf>
    <xf numFmtId="0" fontId="70" fillId="8" borderId="22" xfId="27" applyFont="1" applyFill="1" applyBorder="1" applyAlignment="1" applyProtection="1">
      <alignment vertical="center" wrapText="1"/>
      <protection locked="0"/>
    </xf>
    <xf numFmtId="0" fontId="70" fillId="8" borderId="0" xfId="27" applyFont="1" applyFill="1" applyAlignment="1" applyProtection="1">
      <alignment vertical="center" wrapText="1"/>
      <protection locked="0"/>
    </xf>
    <xf numFmtId="0" fontId="70" fillId="8" borderId="29" xfId="27" applyFont="1" applyFill="1" applyBorder="1" applyAlignment="1" applyProtection="1">
      <alignment vertical="center" wrapText="1"/>
      <protection locked="0"/>
    </xf>
    <xf numFmtId="0" fontId="70" fillId="8" borderId="21" xfId="27" applyFont="1" applyFill="1" applyBorder="1" applyAlignment="1" applyProtection="1">
      <alignment vertical="center" wrapText="1"/>
      <protection locked="0"/>
    </xf>
    <xf numFmtId="0" fontId="70" fillId="8" borderId="19" xfId="27" applyFont="1" applyFill="1" applyBorder="1" applyAlignment="1" applyProtection="1">
      <alignment vertical="center" wrapText="1"/>
      <protection locked="0"/>
    </xf>
    <xf numFmtId="0" fontId="70" fillId="8" borderId="25" xfId="27" applyFont="1" applyFill="1" applyBorder="1" applyAlignment="1" applyProtection="1">
      <alignment vertical="center" wrapText="1"/>
      <protection locked="0"/>
    </xf>
    <xf numFmtId="0" fontId="70" fillId="8" borderId="49" xfId="27" applyFont="1" applyFill="1" applyBorder="1" applyAlignment="1" applyProtection="1">
      <alignment horizontal="left" vertical="top" wrapText="1"/>
      <protection locked="0"/>
    </xf>
    <xf numFmtId="0" fontId="70" fillId="8" borderId="50" xfId="27" applyFont="1" applyFill="1" applyBorder="1" applyAlignment="1" applyProtection="1">
      <alignment horizontal="left" vertical="top" wrapText="1"/>
      <protection locked="0"/>
    </xf>
    <xf numFmtId="0" fontId="70" fillId="8" borderId="55" xfId="27" applyFont="1" applyFill="1" applyBorder="1" applyAlignment="1" applyProtection="1">
      <alignment horizontal="left" vertical="top" wrapText="1"/>
      <protection locked="0"/>
    </xf>
    <xf numFmtId="0" fontId="70" fillId="8" borderId="22" xfId="27" applyFont="1" applyFill="1" applyBorder="1" applyAlignment="1" applyProtection="1">
      <alignment horizontal="left" vertical="top" wrapText="1"/>
      <protection locked="0"/>
    </xf>
    <xf numFmtId="0" fontId="70" fillId="8" borderId="0" xfId="27" applyFont="1" applyFill="1" applyAlignment="1" applyProtection="1">
      <alignment horizontal="left" vertical="top" wrapText="1"/>
      <protection locked="0"/>
    </xf>
    <xf numFmtId="0" fontId="70" fillId="8" borderId="29" xfId="27" applyFont="1" applyFill="1" applyBorder="1" applyAlignment="1" applyProtection="1">
      <alignment horizontal="left" vertical="top" wrapText="1"/>
      <protection locked="0"/>
    </xf>
    <xf numFmtId="0" fontId="70" fillId="8" borderId="21" xfId="27" applyFont="1" applyFill="1" applyBorder="1" applyAlignment="1" applyProtection="1">
      <alignment horizontal="left" vertical="top" wrapText="1"/>
      <protection locked="0"/>
    </xf>
    <xf numFmtId="0" fontId="70" fillId="8" borderId="19" xfId="27" applyFont="1" applyFill="1" applyBorder="1" applyAlignment="1" applyProtection="1">
      <alignment horizontal="left" vertical="top" wrapText="1"/>
      <protection locked="0"/>
    </xf>
    <xf numFmtId="0" fontId="70" fillId="8" borderId="25" xfId="27" applyFont="1" applyFill="1" applyBorder="1" applyAlignment="1" applyProtection="1">
      <alignment horizontal="left" vertical="top" wrapText="1"/>
      <protection locked="0"/>
    </xf>
    <xf numFmtId="0" fontId="27" fillId="8" borderId="30" xfId="33" applyFill="1" applyBorder="1" applyAlignment="1" applyProtection="1">
      <alignment horizontal="center" vertical="center" wrapText="1"/>
      <protection locked="0"/>
    </xf>
    <xf numFmtId="0" fontId="27" fillId="8" borderId="32" xfId="33" applyFill="1" applyBorder="1" applyAlignment="1" applyProtection="1">
      <alignment horizontal="center" vertical="center" wrapText="1"/>
      <protection locked="0"/>
    </xf>
    <xf numFmtId="0" fontId="68" fillId="8" borderId="30" xfId="33" applyFont="1" applyFill="1" applyBorder="1" applyAlignment="1" applyProtection="1">
      <alignment horizontal="left" vertical="center" wrapText="1"/>
      <protection locked="0"/>
    </xf>
    <xf numFmtId="0" fontId="48" fillId="8" borderId="31" xfId="33" applyFont="1" applyFill="1" applyBorder="1" applyAlignment="1" applyProtection="1">
      <alignment horizontal="left" vertical="center" wrapText="1"/>
      <protection locked="0"/>
    </xf>
    <xf numFmtId="0" fontId="48" fillId="8" borderId="32" xfId="33" applyFont="1" applyFill="1" applyBorder="1" applyAlignment="1" applyProtection="1">
      <alignment horizontal="left" vertical="center" wrapText="1"/>
      <protection locked="0"/>
    </xf>
    <xf numFmtId="0" fontId="48" fillId="8" borderId="30" xfId="33" applyFont="1" applyFill="1" applyBorder="1" applyAlignment="1" applyProtection="1">
      <alignment horizontal="left" vertical="center" wrapText="1"/>
      <protection locked="0"/>
    </xf>
    <xf numFmtId="0" fontId="48" fillId="8" borderId="30" xfId="33" applyFont="1" applyFill="1" applyBorder="1" applyAlignment="1" applyProtection="1">
      <alignment horizontal="center" vertical="center" wrapText="1"/>
      <protection locked="0"/>
    </xf>
    <xf numFmtId="0" fontId="48" fillId="8" borderId="32" xfId="33" applyFont="1" applyFill="1" applyBorder="1" applyAlignment="1" applyProtection="1">
      <alignment horizontal="center" vertical="center" wrapText="1"/>
      <protection locked="0"/>
    </xf>
    <xf numFmtId="0" fontId="27" fillId="8" borderId="30" xfId="33" applyFill="1" applyBorder="1" applyAlignment="1" applyProtection="1">
      <alignment horizontal="left" vertical="center" wrapText="1"/>
      <protection locked="0"/>
    </xf>
    <xf numFmtId="0" fontId="27" fillId="8" borderId="31" xfId="33" applyFill="1" applyBorder="1" applyAlignment="1" applyProtection="1">
      <alignment horizontal="left" vertical="center" wrapText="1"/>
      <protection locked="0"/>
    </xf>
    <xf numFmtId="0" fontId="27" fillId="8" borderId="32" xfId="33" applyFill="1" applyBorder="1" applyAlignment="1" applyProtection="1">
      <alignment horizontal="left" vertical="center" wrapText="1"/>
      <protection locked="0"/>
    </xf>
    <xf numFmtId="0" fontId="5" fillId="8" borderId="30" xfId="33" applyFont="1" applyFill="1" applyBorder="1" applyAlignment="1" applyProtection="1">
      <alignment horizontal="left" vertical="center" wrapText="1"/>
      <protection locked="0"/>
    </xf>
    <xf numFmtId="0" fontId="27" fillId="4" borderId="20" xfId="33" applyFill="1" applyBorder="1" applyAlignment="1">
      <alignment horizontal="center" vertical="center"/>
    </xf>
    <xf numFmtId="0" fontId="27" fillId="4" borderId="34" xfId="33" applyFill="1" applyBorder="1" applyAlignment="1">
      <alignment horizontal="center" vertical="center"/>
    </xf>
    <xf numFmtId="0" fontId="27" fillId="4" borderId="35" xfId="33" applyFill="1" applyBorder="1" applyAlignment="1">
      <alignment horizontal="center" vertical="center"/>
    </xf>
    <xf numFmtId="0" fontId="27" fillId="4" borderId="22" xfId="33" applyFill="1" applyBorder="1" applyAlignment="1">
      <alignment horizontal="center" vertical="center"/>
    </xf>
    <xf numFmtId="0" fontId="27" fillId="4" borderId="0" xfId="33" applyFill="1" applyAlignment="1">
      <alignment horizontal="center" vertical="center"/>
    </xf>
    <xf numFmtId="0" fontId="27" fillId="4" borderId="29" xfId="33" applyFill="1" applyBorder="1" applyAlignment="1">
      <alignment horizontal="center" vertical="center"/>
    </xf>
    <xf numFmtId="0" fontId="27" fillId="4" borderId="21" xfId="33" applyFill="1" applyBorder="1" applyAlignment="1">
      <alignment horizontal="center" vertical="center"/>
    </xf>
    <xf numFmtId="0" fontId="27" fillId="4" borderId="19" xfId="33" applyFill="1" applyBorder="1" applyAlignment="1">
      <alignment horizontal="center" vertical="center"/>
    </xf>
    <xf numFmtId="0" fontId="27" fillId="4" borderId="25" xfId="33" applyFill="1" applyBorder="1" applyAlignment="1">
      <alignment horizontal="center" vertical="center"/>
    </xf>
    <xf numFmtId="0" fontId="27" fillId="4" borderId="30" xfId="33" applyFill="1" applyBorder="1" applyAlignment="1">
      <alignment horizontal="center" vertical="center"/>
    </xf>
    <xf numFmtId="0" fontId="27" fillId="4" borderId="31" xfId="33" applyFill="1" applyBorder="1" applyAlignment="1">
      <alignment horizontal="center" vertical="center"/>
    </xf>
    <xf numFmtId="0" fontId="27" fillId="4" borderId="32" xfId="33" applyFill="1" applyBorder="1" applyAlignment="1">
      <alignment horizontal="center" vertical="center"/>
    </xf>
    <xf numFmtId="0" fontId="27" fillId="2" borderId="20" xfId="33" applyFill="1" applyBorder="1" applyAlignment="1">
      <alignment horizontal="left" vertical="center" wrapText="1"/>
    </xf>
    <xf numFmtId="0" fontId="27" fillId="2" borderId="34" xfId="33" applyFill="1" applyBorder="1" applyAlignment="1">
      <alignment horizontal="left" vertical="center" wrapText="1"/>
    </xf>
    <xf numFmtId="0" fontId="27" fillId="2" borderId="22" xfId="33" applyFill="1" applyBorder="1" applyAlignment="1">
      <alignment horizontal="left" vertical="center" wrapText="1"/>
    </xf>
    <xf numFmtId="0" fontId="27" fillId="2" borderId="0" xfId="33" applyFill="1" applyAlignment="1">
      <alignment horizontal="left" vertical="center" wrapText="1"/>
    </xf>
    <xf numFmtId="0" fontId="27" fillId="2" borderId="21" xfId="33" applyFill="1" applyBorder="1" applyAlignment="1">
      <alignment horizontal="left" vertical="center" wrapText="1"/>
    </xf>
    <xf numFmtId="0" fontId="27" fillId="2" borderId="19" xfId="33" applyFill="1" applyBorder="1" applyAlignment="1">
      <alignment horizontal="left" vertical="center" wrapText="1"/>
    </xf>
    <xf numFmtId="58" fontId="27" fillId="0" borderId="30" xfId="33" applyNumberFormat="1" applyBorder="1" applyAlignment="1">
      <alignment horizontal="center" vertical="center"/>
    </xf>
    <xf numFmtId="58" fontId="27" fillId="0" borderId="31" xfId="33" applyNumberFormat="1" applyBorder="1" applyAlignment="1">
      <alignment horizontal="center" vertical="center"/>
    </xf>
    <xf numFmtId="58" fontId="27" fillId="0" borderId="32" xfId="33" applyNumberFormat="1" applyBorder="1" applyAlignment="1">
      <alignment horizontal="center" vertical="center"/>
    </xf>
    <xf numFmtId="0" fontId="63" fillId="2" borderId="0" xfId="33" applyFont="1" applyFill="1" applyAlignment="1">
      <alignment horizontal="center" vertical="center"/>
    </xf>
    <xf numFmtId="0" fontId="16" fillId="3" borderId="30" xfId="33" applyFont="1" applyFill="1" applyBorder="1" applyAlignment="1">
      <alignment horizontal="left" vertical="center"/>
    </xf>
    <xf numFmtId="0" fontId="27" fillId="3" borderId="31" xfId="33" applyFill="1" applyBorder="1" applyAlignment="1">
      <alignment horizontal="left" vertical="center"/>
    </xf>
    <xf numFmtId="0" fontId="68" fillId="8" borderId="20" xfId="33" applyFont="1" applyFill="1" applyBorder="1" applyAlignment="1" applyProtection="1">
      <alignment horizontal="left" vertical="top" wrapText="1"/>
      <protection locked="0"/>
    </xf>
    <xf numFmtId="0" fontId="68" fillId="8" borderId="34" xfId="33" applyFont="1" applyFill="1" applyBorder="1" applyAlignment="1" applyProtection="1">
      <alignment horizontal="left" vertical="top" wrapText="1"/>
      <protection locked="0"/>
    </xf>
    <xf numFmtId="0" fontId="68" fillId="8" borderId="22" xfId="33" applyFont="1" applyFill="1" applyBorder="1" applyAlignment="1" applyProtection="1">
      <alignment horizontal="left" vertical="top" wrapText="1"/>
      <protection locked="0"/>
    </xf>
    <xf numFmtId="0" fontId="68" fillId="8" borderId="0" xfId="33" applyFont="1" applyFill="1" applyAlignment="1" applyProtection="1">
      <alignment horizontal="left" vertical="top" wrapText="1"/>
      <protection locked="0"/>
    </xf>
    <xf numFmtId="0" fontId="68" fillId="8" borderId="21" xfId="33" applyFont="1" applyFill="1" applyBorder="1" applyAlignment="1" applyProtection="1">
      <alignment horizontal="left" vertical="top" wrapText="1"/>
      <protection locked="0"/>
    </xf>
    <xf numFmtId="0" fontId="68" fillId="8" borderId="19" xfId="33" applyFont="1" applyFill="1" applyBorder="1" applyAlignment="1" applyProtection="1">
      <alignment horizontal="left" vertical="top" wrapText="1"/>
      <protection locked="0"/>
    </xf>
    <xf numFmtId="0" fontId="27" fillId="4" borderId="18" xfId="33" applyFill="1" applyBorder="1" applyAlignment="1">
      <alignment horizontal="center" vertical="center"/>
    </xf>
    <xf numFmtId="0" fontId="27" fillId="7" borderId="30" xfId="35" applyFill="1" applyBorder="1" applyAlignment="1">
      <alignment horizontal="center" vertical="center"/>
    </xf>
    <xf numFmtId="0" fontId="27" fillId="7" borderId="31" xfId="35" applyFill="1" applyBorder="1" applyAlignment="1">
      <alignment horizontal="center" vertical="center"/>
    </xf>
    <xf numFmtId="0" fontId="27" fillId="7" borderId="32" xfId="35" applyFill="1" applyBorder="1" applyAlignment="1">
      <alignment horizontal="center" vertical="center"/>
    </xf>
    <xf numFmtId="0" fontId="27" fillId="6" borderId="30" xfId="35" applyFill="1" applyBorder="1" applyAlignment="1">
      <alignment horizontal="center" vertical="center"/>
    </xf>
    <xf numFmtId="0" fontId="27" fillId="6" borderId="31" xfId="35" applyFill="1" applyBorder="1" applyAlignment="1">
      <alignment horizontal="center" vertical="center"/>
    </xf>
    <xf numFmtId="0" fontId="27" fillId="6" borderId="32" xfId="35" applyFill="1" applyBorder="1" applyAlignment="1">
      <alignment horizontal="center" vertical="center"/>
    </xf>
    <xf numFmtId="0" fontId="1" fillId="5" borderId="30" xfId="35" applyFont="1" applyFill="1" applyBorder="1" applyAlignment="1">
      <alignment horizontal="center" vertical="center"/>
    </xf>
    <xf numFmtId="0" fontId="1" fillId="5" borderId="31" xfId="35" applyFont="1" applyFill="1" applyBorder="1" applyAlignment="1">
      <alignment horizontal="center" vertical="center"/>
    </xf>
    <xf numFmtId="0" fontId="1" fillId="5" borderId="32" xfId="35" applyFont="1" applyFill="1" applyBorder="1" applyAlignment="1">
      <alignment horizontal="center" vertical="center"/>
    </xf>
    <xf numFmtId="0" fontId="50" fillId="8" borderId="30" xfId="35" applyFont="1" applyFill="1" applyBorder="1" applyAlignment="1">
      <alignment vertical="center" wrapText="1"/>
    </xf>
    <xf numFmtId="0" fontId="50" fillId="8" borderId="31" xfId="35" applyFont="1" applyFill="1" applyBorder="1" applyAlignment="1">
      <alignment vertical="center" wrapText="1"/>
    </xf>
    <xf numFmtId="0" fontId="50" fillId="8" borderId="32" xfId="35" applyFont="1" applyFill="1" applyBorder="1" applyAlignment="1">
      <alignment vertical="center" wrapText="1"/>
    </xf>
    <xf numFmtId="0" fontId="72" fillId="8" borderId="30" xfId="35" applyFont="1" applyFill="1" applyBorder="1">
      <alignment vertical="center"/>
    </xf>
    <xf numFmtId="0" fontId="72" fillId="8" borderId="31" xfId="35" applyFont="1" applyFill="1" applyBorder="1">
      <alignment vertical="center"/>
    </xf>
    <xf numFmtId="0" fontId="72" fillId="8" borderId="32" xfId="35" applyFont="1" applyFill="1" applyBorder="1">
      <alignment vertical="center"/>
    </xf>
    <xf numFmtId="0" fontId="27" fillId="6" borderId="30" xfId="35" applyFill="1" applyBorder="1" applyAlignment="1">
      <alignment horizontal="center" vertical="center" shrinkToFit="1"/>
    </xf>
    <xf numFmtId="0" fontId="27" fillId="6" borderId="31" xfId="35" applyFill="1" applyBorder="1" applyAlignment="1">
      <alignment horizontal="center" vertical="center" shrinkToFit="1"/>
    </xf>
    <xf numFmtId="0" fontId="27" fillId="6" borderId="32" xfId="35" applyFill="1" applyBorder="1" applyAlignment="1">
      <alignment horizontal="center" vertical="center" shrinkToFit="1"/>
    </xf>
    <xf numFmtId="179" fontId="27" fillId="8" borderId="30" xfId="35" applyNumberFormat="1" applyFill="1" applyBorder="1">
      <alignment vertical="center"/>
    </xf>
    <xf numFmtId="179" fontId="27" fillId="8" borderId="31" xfId="35" applyNumberFormat="1" applyFill="1" applyBorder="1">
      <alignment vertical="center"/>
    </xf>
    <xf numFmtId="179" fontId="27" fillId="8" borderId="32" xfId="35" applyNumberFormat="1" applyFill="1" applyBorder="1">
      <alignment vertical="center"/>
    </xf>
    <xf numFmtId="179" fontId="27" fillId="7" borderId="30" xfId="35" applyNumberFormat="1" applyFill="1" applyBorder="1">
      <alignment vertical="center"/>
    </xf>
    <xf numFmtId="179" fontId="27" fillId="7" borderId="31" xfId="35" applyNumberFormat="1" applyFill="1" applyBorder="1">
      <alignment vertical="center"/>
    </xf>
    <xf numFmtId="179" fontId="27" fillId="7" borderId="32" xfId="35" applyNumberFormat="1" applyFill="1" applyBorder="1">
      <alignment vertical="center"/>
    </xf>
    <xf numFmtId="0" fontId="27" fillId="7" borderId="18" xfId="35" applyFill="1" applyBorder="1" applyAlignment="1">
      <alignment horizontal="center" vertical="center"/>
    </xf>
    <xf numFmtId="0" fontId="27" fillId="6" borderId="18" xfId="35" applyFill="1" applyBorder="1" applyAlignment="1">
      <alignment horizontal="center" vertical="center"/>
    </xf>
    <xf numFmtId="0" fontId="1" fillId="5" borderId="18" xfId="35" applyFont="1" applyFill="1" applyBorder="1" applyAlignment="1">
      <alignment horizontal="center" vertical="center"/>
    </xf>
    <xf numFmtId="0" fontId="27" fillId="5" borderId="18" xfId="35" applyFill="1" applyBorder="1" applyAlignment="1">
      <alignment horizontal="center" vertical="center"/>
    </xf>
    <xf numFmtId="0" fontId="50" fillId="8" borderId="18" xfId="35" applyFont="1" applyFill="1" applyBorder="1" applyAlignment="1">
      <alignment vertical="center" wrapText="1"/>
    </xf>
    <xf numFmtId="0" fontId="72" fillId="8" borderId="18" xfId="35" applyFont="1" applyFill="1" applyBorder="1">
      <alignment vertical="center"/>
    </xf>
    <xf numFmtId="0" fontId="27" fillId="6" borderId="18" xfId="35" applyFill="1" applyBorder="1" applyAlignment="1">
      <alignment horizontal="center" vertical="center" shrinkToFit="1"/>
    </xf>
    <xf numFmtId="179" fontId="27" fillId="8" borderId="18" xfId="35" applyNumberFormat="1" applyFill="1" applyBorder="1">
      <alignment vertical="center"/>
    </xf>
    <xf numFmtId="179" fontId="27" fillId="7" borderId="18" xfId="35" applyNumberFormat="1" applyFill="1" applyBorder="1">
      <alignment vertical="center"/>
    </xf>
    <xf numFmtId="0" fontId="53" fillId="2" borderId="34" xfId="35" applyFont="1" applyFill="1" applyBorder="1" applyAlignment="1">
      <alignment horizontal="right" vertical="center"/>
    </xf>
    <xf numFmtId="0" fontId="53" fillId="2" borderId="35" xfId="35" applyFont="1" applyFill="1" applyBorder="1" applyAlignment="1">
      <alignment horizontal="right" vertical="center"/>
    </xf>
    <xf numFmtId="179" fontId="53" fillId="7" borderId="18" xfId="35" applyNumberFormat="1" applyFont="1" applyFill="1" applyBorder="1">
      <alignment vertical="center"/>
    </xf>
    <xf numFmtId="0" fontId="72" fillId="8" borderId="18" xfId="35" applyFont="1" applyFill="1" applyBorder="1" applyAlignment="1">
      <alignment vertical="center" wrapText="1"/>
    </xf>
    <xf numFmtId="0" fontId="27" fillId="5" borderId="34" xfId="35" applyFill="1" applyBorder="1" applyAlignment="1">
      <alignment horizontal="center" vertical="center"/>
    </xf>
    <xf numFmtId="0" fontId="27" fillId="5" borderId="35" xfId="35" applyFill="1" applyBorder="1" applyAlignment="1">
      <alignment horizontal="center" vertical="center"/>
    </xf>
    <xf numFmtId="0" fontId="27" fillId="5" borderId="21" xfId="35" applyFill="1" applyBorder="1" applyAlignment="1">
      <alignment horizontal="center" vertical="center" wrapText="1"/>
    </xf>
    <xf numFmtId="0" fontId="27" fillId="5" borderId="19" xfId="35" applyFill="1" applyBorder="1" applyAlignment="1">
      <alignment horizontal="center" vertical="center" wrapText="1"/>
    </xf>
    <xf numFmtId="0" fontId="27" fillId="5" borderId="25" xfId="35" applyFill="1" applyBorder="1" applyAlignment="1">
      <alignment horizontal="center" vertical="center" wrapText="1"/>
    </xf>
    <xf numFmtId="0" fontId="27" fillId="5" borderId="21" xfId="35" applyFill="1" applyBorder="1" applyAlignment="1">
      <alignment horizontal="center" vertical="center"/>
    </xf>
    <xf numFmtId="0" fontId="27" fillId="5" borderId="19" xfId="35" applyFill="1" applyBorder="1" applyAlignment="1">
      <alignment horizontal="center" vertical="center"/>
    </xf>
    <xf numFmtId="0" fontId="27" fillId="5" borderId="25" xfId="35" applyFill="1" applyBorder="1" applyAlignment="1">
      <alignment horizontal="center" vertical="center"/>
    </xf>
    <xf numFmtId="0" fontId="27" fillId="5" borderId="24" xfId="35" applyFill="1" applyBorder="1" applyAlignment="1">
      <alignment horizontal="center" vertical="center" wrapText="1"/>
    </xf>
    <xf numFmtId="0" fontId="49" fillId="5" borderId="18" xfId="35" applyFont="1" applyFill="1" applyBorder="1" applyAlignment="1">
      <alignment horizontal="center" vertical="center" wrapText="1"/>
    </xf>
    <xf numFmtId="0" fontId="45" fillId="5" borderId="18" xfId="35" applyFont="1" applyFill="1" applyBorder="1" applyAlignment="1">
      <alignment horizontal="center" vertical="center" wrapText="1"/>
    </xf>
    <xf numFmtId="0" fontId="46" fillId="5" borderId="18" xfId="35" applyFont="1" applyFill="1" applyBorder="1" applyAlignment="1">
      <alignment horizontal="center" vertical="center" wrapText="1"/>
    </xf>
    <xf numFmtId="0" fontId="27" fillId="2" borderId="19" xfId="35" applyFill="1" applyBorder="1" applyAlignment="1">
      <alignment horizontal="center" vertical="center"/>
    </xf>
    <xf numFmtId="0" fontId="27" fillId="5" borderId="20" xfId="35" applyFill="1" applyBorder="1" applyAlignment="1">
      <alignment horizontal="center" vertical="center"/>
    </xf>
    <xf numFmtId="0" fontId="27" fillId="5" borderId="0" xfId="35" applyFill="1" applyAlignment="1">
      <alignment horizontal="center" vertical="center"/>
    </xf>
    <xf numFmtId="0" fontId="27" fillId="4" borderId="18" xfId="37" applyFill="1" applyBorder="1" applyAlignment="1">
      <alignment horizontal="center" vertical="center"/>
    </xf>
    <xf numFmtId="0" fontId="44" fillId="8" borderId="18" xfId="31" applyFont="1" applyFill="1" applyBorder="1" applyAlignment="1" applyProtection="1">
      <alignment horizontal="center" vertical="center" shrinkToFit="1"/>
      <protection locked="0"/>
    </xf>
    <xf numFmtId="0" fontId="27" fillId="8" borderId="18" xfId="37" applyFill="1" applyBorder="1" applyAlignment="1">
      <alignment horizontal="left" vertical="center" wrapText="1"/>
    </xf>
    <xf numFmtId="0" fontId="22" fillId="4" borderId="30" xfId="37" applyFont="1" applyFill="1" applyBorder="1" applyAlignment="1">
      <alignment horizontal="center" vertical="center"/>
    </xf>
    <xf numFmtId="0" fontId="27" fillId="4" borderId="31" xfId="37" applyFill="1" applyBorder="1" applyAlignment="1">
      <alignment horizontal="center" vertical="center"/>
    </xf>
    <xf numFmtId="0" fontId="27" fillId="4" borderId="32" xfId="37" applyFill="1" applyBorder="1" applyAlignment="1">
      <alignment horizontal="center" vertical="center"/>
    </xf>
    <xf numFmtId="0" fontId="68" fillId="4" borderId="30" xfId="37" applyFont="1" applyFill="1" applyBorder="1" applyAlignment="1">
      <alignment horizontal="center" vertical="center"/>
    </xf>
    <xf numFmtId="0" fontId="48" fillId="4" borderId="31" xfId="37" applyFont="1" applyFill="1" applyBorder="1" applyAlignment="1">
      <alignment horizontal="center" vertical="center"/>
    </xf>
    <xf numFmtId="0" fontId="48" fillId="4" borderId="32" xfId="37" applyFont="1" applyFill="1" applyBorder="1" applyAlignment="1">
      <alignment horizontal="center" vertical="center"/>
    </xf>
    <xf numFmtId="0" fontId="48" fillId="8" borderId="30" xfId="37" applyFont="1" applyFill="1" applyBorder="1" applyAlignment="1">
      <alignment horizontal="center" vertical="center"/>
    </xf>
    <xf numFmtId="0" fontId="48" fillId="8" borderId="31" xfId="37" applyFont="1" applyFill="1" applyBorder="1" applyAlignment="1">
      <alignment horizontal="center" vertical="center"/>
    </xf>
    <xf numFmtId="0" fontId="48" fillId="8" borderId="32" xfId="37" applyFont="1" applyFill="1" applyBorder="1" applyAlignment="1">
      <alignment horizontal="center" vertical="center"/>
    </xf>
    <xf numFmtId="0" fontId="22" fillId="4" borderId="18" xfId="37" applyFont="1" applyFill="1" applyBorder="1" applyAlignment="1">
      <alignment horizontal="center" vertical="center"/>
    </xf>
    <xf numFmtId="0" fontId="14" fillId="4" borderId="18" xfId="37" applyFont="1" applyFill="1" applyBorder="1" applyAlignment="1">
      <alignment horizontal="center" vertical="center"/>
    </xf>
    <xf numFmtId="0" fontId="27" fillId="8" borderId="30" xfId="37" applyFill="1" applyBorder="1" applyAlignment="1">
      <alignment horizontal="center" vertical="center"/>
    </xf>
    <xf numFmtId="0" fontId="27" fillId="8" borderId="31" xfId="37" applyFill="1" applyBorder="1" applyAlignment="1">
      <alignment horizontal="center" vertical="center"/>
    </xf>
    <xf numFmtId="0" fontId="27" fillId="8" borderId="32" xfId="37" applyFill="1" applyBorder="1" applyAlignment="1">
      <alignment horizontal="center" vertical="center"/>
    </xf>
    <xf numFmtId="0" fontId="22" fillId="4" borderId="30" xfId="37" applyFont="1" applyFill="1" applyBorder="1" applyAlignment="1">
      <alignment horizontal="center" vertical="center" shrinkToFit="1"/>
    </xf>
    <xf numFmtId="0" fontId="22" fillId="4" borderId="31" xfId="37" applyFont="1" applyFill="1" applyBorder="1" applyAlignment="1">
      <alignment horizontal="center" vertical="center" shrinkToFit="1"/>
    </xf>
    <xf numFmtId="0" fontId="22" fillId="4" borderId="32" xfId="37" applyFont="1" applyFill="1" applyBorder="1" applyAlignment="1">
      <alignment horizontal="center" vertical="center" shrinkToFit="1"/>
    </xf>
    <xf numFmtId="0" fontId="27" fillId="8" borderId="30" xfId="37" applyFill="1" applyBorder="1" applyAlignment="1">
      <alignment horizontal="center" vertical="center" wrapText="1"/>
    </xf>
    <xf numFmtId="0" fontId="27" fillId="8" borderId="31" xfId="37" applyFill="1" applyBorder="1" applyAlignment="1">
      <alignment horizontal="center" vertical="center" wrapText="1"/>
    </xf>
    <xf numFmtId="0" fontId="27" fillId="8" borderId="32" xfId="37" applyFill="1" applyBorder="1" applyAlignment="1">
      <alignment horizontal="center" vertical="center" wrapText="1"/>
    </xf>
    <xf numFmtId="0" fontId="44" fillId="4" borderId="31" xfId="37" applyFont="1" applyFill="1" applyBorder="1" applyAlignment="1">
      <alignment horizontal="center" vertical="center" shrinkToFit="1"/>
    </xf>
    <xf numFmtId="0" fontId="44" fillId="4" borderId="32" xfId="37" applyFont="1" applyFill="1" applyBorder="1" applyAlignment="1">
      <alignment horizontal="center" vertical="center" shrinkToFit="1"/>
    </xf>
    <xf numFmtId="0" fontId="48" fillId="2" borderId="0" xfId="37" applyFont="1" applyFill="1" applyAlignment="1">
      <alignment horizontal="left" vertical="center" wrapText="1"/>
    </xf>
    <xf numFmtId="0" fontId="27" fillId="2" borderId="0" xfId="37" applyFill="1" applyAlignment="1">
      <alignment horizontal="left" vertical="center" wrapText="1"/>
    </xf>
    <xf numFmtId="0" fontId="50" fillId="8" borderId="18" xfId="35" applyFont="1" applyFill="1" applyBorder="1">
      <alignment vertical="center"/>
    </xf>
    <xf numFmtId="0" fontId="27" fillId="8" borderId="18" xfId="35" applyFill="1" applyBorder="1">
      <alignment vertical="center"/>
    </xf>
    <xf numFmtId="0" fontId="27" fillId="8" borderId="18" xfId="35" applyFill="1" applyBorder="1" applyAlignment="1">
      <alignment horizontal="center" vertical="center" shrinkToFit="1"/>
    </xf>
    <xf numFmtId="0" fontId="24" fillId="5" borderId="24" xfId="35" applyFont="1" applyFill="1" applyBorder="1" applyAlignment="1">
      <alignment horizontal="center" vertical="center" wrapText="1"/>
    </xf>
    <xf numFmtId="0" fontId="27" fillId="4" borderId="30" xfId="39" applyFill="1" applyBorder="1" applyAlignment="1">
      <alignment horizontal="center" vertical="center"/>
    </xf>
    <xf numFmtId="0" fontId="27" fillId="4" borderId="31" xfId="39" applyFill="1" applyBorder="1" applyAlignment="1">
      <alignment horizontal="center" vertical="center"/>
    </xf>
    <xf numFmtId="0" fontId="27" fillId="4" borderId="32" xfId="39" applyFill="1" applyBorder="1" applyAlignment="1">
      <alignment horizontal="center" vertical="center"/>
    </xf>
    <xf numFmtId="0" fontId="27" fillId="4" borderId="18" xfId="39" applyFill="1" applyBorder="1" applyAlignment="1">
      <alignment horizontal="center" vertical="center"/>
    </xf>
    <xf numFmtId="0" fontId="48" fillId="8" borderId="30" xfId="39" applyFont="1" applyFill="1" applyBorder="1" applyAlignment="1">
      <alignment horizontal="center" vertical="center" wrapText="1"/>
    </xf>
    <xf numFmtId="0" fontId="48" fillId="8" borderId="31" xfId="39" applyFont="1" applyFill="1" applyBorder="1" applyAlignment="1">
      <alignment horizontal="center" vertical="center" wrapText="1"/>
    </xf>
    <xf numFmtId="0" fontId="48" fillId="8" borderId="32" xfId="39" applyFont="1" applyFill="1" applyBorder="1" applyAlignment="1">
      <alignment horizontal="center" vertical="center" wrapText="1"/>
    </xf>
    <xf numFmtId="0" fontId="27" fillId="8" borderId="30" xfId="39" applyFill="1" applyBorder="1" applyAlignment="1">
      <alignment horizontal="center" vertical="center"/>
    </xf>
    <xf numFmtId="0" fontId="27" fillId="8" borderId="31" xfId="39" applyFill="1" applyBorder="1" applyAlignment="1">
      <alignment horizontal="center" vertical="center"/>
    </xf>
    <xf numFmtId="0" fontId="27" fillId="8" borderId="32" xfId="39" applyFill="1" applyBorder="1" applyAlignment="1">
      <alignment horizontal="center" vertical="center"/>
    </xf>
    <xf numFmtId="0" fontId="24" fillId="5" borderId="18" xfId="35" applyFont="1" applyFill="1" applyBorder="1" applyAlignment="1">
      <alignment horizontal="center" vertical="center"/>
    </xf>
    <xf numFmtId="0" fontId="68" fillId="8" borderId="18" xfId="35" applyFont="1" applyFill="1" applyBorder="1" applyAlignment="1">
      <alignment vertical="center" wrapText="1"/>
    </xf>
    <xf numFmtId="0" fontId="48" fillId="8" borderId="18" xfId="35" applyFont="1" applyFill="1" applyBorder="1" applyAlignment="1">
      <alignment vertical="center" wrapText="1"/>
    </xf>
    <xf numFmtId="0" fontId="48" fillId="8" borderId="18" xfId="35" applyFont="1" applyFill="1" applyBorder="1">
      <alignment vertical="center"/>
    </xf>
    <xf numFmtId="179" fontId="68" fillId="8" borderId="18" xfId="35" applyNumberFormat="1" applyFont="1" applyFill="1" applyBorder="1">
      <alignment vertical="center"/>
    </xf>
    <xf numFmtId="0" fontId="22" fillId="4" borderId="30" xfId="39" applyFont="1" applyFill="1" applyBorder="1" applyAlignment="1">
      <alignment horizontal="center" vertical="center" shrinkToFit="1"/>
    </xf>
    <xf numFmtId="0" fontId="22" fillId="4" borderId="31" xfId="39" applyFont="1" applyFill="1" applyBorder="1" applyAlignment="1">
      <alignment horizontal="center" vertical="center" shrinkToFit="1"/>
    </xf>
    <xf numFmtId="0" fontId="22" fillId="4" borderId="32" xfId="39" applyFont="1" applyFill="1" applyBorder="1" applyAlignment="1">
      <alignment horizontal="center" vertical="center" shrinkToFit="1"/>
    </xf>
    <xf numFmtId="0" fontId="27" fillId="5" borderId="20" xfId="40" applyFill="1" applyBorder="1" applyAlignment="1">
      <alignment horizontal="center" vertical="center"/>
    </xf>
    <xf numFmtId="0" fontId="27" fillId="5" borderId="34" xfId="40" applyFill="1" applyBorder="1" applyAlignment="1">
      <alignment horizontal="center" vertical="center"/>
    </xf>
    <xf numFmtId="0" fontId="27" fillId="5" borderId="35" xfId="40" applyFill="1" applyBorder="1" applyAlignment="1">
      <alignment horizontal="center" vertical="center"/>
    </xf>
    <xf numFmtId="0" fontId="27" fillId="5" borderId="22" xfId="40" applyFill="1" applyBorder="1" applyAlignment="1">
      <alignment horizontal="center" vertical="center"/>
    </xf>
    <xf numFmtId="0" fontId="27" fillId="5" borderId="0" xfId="40" applyFill="1" applyAlignment="1">
      <alignment horizontal="center" vertical="center"/>
    </xf>
    <xf numFmtId="0" fontId="27" fillId="5" borderId="29" xfId="40" applyFill="1" applyBorder="1" applyAlignment="1">
      <alignment horizontal="center" vertical="center"/>
    </xf>
    <xf numFmtId="0" fontId="27" fillId="5" borderId="21" xfId="40" applyFill="1" applyBorder="1" applyAlignment="1">
      <alignment horizontal="center" vertical="center"/>
    </xf>
    <xf numFmtId="0" fontId="27" fillId="5" borderId="19" xfId="40" applyFill="1" applyBorder="1" applyAlignment="1">
      <alignment horizontal="center" vertical="center"/>
    </xf>
    <xf numFmtId="0" fontId="27" fillId="5" borderId="25" xfId="40" applyFill="1" applyBorder="1" applyAlignment="1">
      <alignment horizontal="center" vertical="center"/>
    </xf>
    <xf numFmtId="0" fontId="27" fillId="8" borderId="30" xfId="40" applyFill="1" applyBorder="1" applyAlignment="1">
      <alignment horizontal="center" vertical="center"/>
    </xf>
    <xf numFmtId="0" fontId="27" fillId="8" borderId="31" xfId="40" applyFill="1" applyBorder="1" applyAlignment="1">
      <alignment horizontal="center" vertical="center"/>
    </xf>
    <xf numFmtId="0" fontId="27" fillId="8" borderId="32" xfId="40" applyFill="1" applyBorder="1" applyAlignment="1">
      <alignment horizontal="center" vertical="center"/>
    </xf>
    <xf numFmtId="0" fontId="27" fillId="5" borderId="20" xfId="40" applyFill="1" applyBorder="1">
      <alignment vertical="center"/>
    </xf>
    <xf numFmtId="0" fontId="27" fillId="5" borderId="34" xfId="40" applyFill="1" applyBorder="1">
      <alignment vertical="center"/>
    </xf>
    <xf numFmtId="0" fontId="27" fillId="5" borderId="35" xfId="40" applyFill="1" applyBorder="1">
      <alignment vertical="center"/>
    </xf>
    <xf numFmtId="0" fontId="27" fillId="5" borderId="21" xfId="40" applyFill="1" applyBorder="1">
      <alignment vertical="center"/>
    </xf>
    <xf numFmtId="0" fontId="27" fillId="5" borderId="19" xfId="40" applyFill="1" applyBorder="1">
      <alignment vertical="center"/>
    </xf>
    <xf numFmtId="0" fontId="27" fillId="5" borderId="25" xfId="40" applyFill="1" applyBorder="1">
      <alignment vertical="center"/>
    </xf>
    <xf numFmtId="0" fontId="27" fillId="2" borderId="31" xfId="40" applyFill="1" applyBorder="1" applyAlignment="1">
      <alignment horizontal="center" vertical="center"/>
    </xf>
    <xf numFmtId="0" fontId="27" fillId="2" borderId="33" xfId="40" applyFill="1" applyBorder="1" applyAlignment="1">
      <alignment horizontal="center" vertical="center"/>
    </xf>
    <xf numFmtId="0" fontId="27" fillId="8" borderId="28" xfId="40" applyFill="1" applyBorder="1" applyAlignment="1">
      <alignment horizontal="center" vertical="center"/>
    </xf>
    <xf numFmtId="0" fontId="27" fillId="8" borderId="20" xfId="40" applyFill="1" applyBorder="1" applyAlignment="1">
      <alignment horizontal="center" vertical="center"/>
    </xf>
    <xf numFmtId="0" fontId="27" fillId="8" borderId="34" xfId="40" applyFill="1" applyBorder="1" applyAlignment="1">
      <alignment horizontal="center" vertical="center"/>
    </xf>
    <xf numFmtId="0" fontId="27" fillId="8" borderId="35" xfId="40" applyFill="1" applyBorder="1" applyAlignment="1">
      <alignment horizontal="center" vertical="center"/>
    </xf>
    <xf numFmtId="0" fontId="27" fillId="8" borderId="22" xfId="40" applyFill="1" applyBorder="1" applyAlignment="1">
      <alignment horizontal="center" vertical="center"/>
    </xf>
    <xf numFmtId="0" fontId="27" fillId="8" borderId="0" xfId="40" applyFill="1" applyAlignment="1">
      <alignment horizontal="center" vertical="center"/>
    </xf>
    <xf numFmtId="0" fontId="27" fillId="8" borderId="29" xfId="40" applyFill="1" applyBorder="1" applyAlignment="1">
      <alignment horizontal="center" vertical="center"/>
    </xf>
    <xf numFmtId="0" fontId="27" fillId="8" borderId="21" xfId="40" applyFill="1" applyBorder="1" applyAlignment="1">
      <alignment horizontal="center" vertical="center"/>
    </xf>
    <xf numFmtId="0" fontId="27" fillId="8" borderId="19" xfId="40" applyFill="1" applyBorder="1" applyAlignment="1">
      <alignment horizontal="center" vertical="center"/>
    </xf>
    <xf numFmtId="0" fontId="27" fillId="8" borderId="25" xfId="40" applyFill="1" applyBorder="1" applyAlignment="1">
      <alignment horizontal="center" vertical="center"/>
    </xf>
    <xf numFmtId="0" fontId="0" fillId="4" borderId="30" xfId="39" applyFont="1" applyFill="1" applyBorder="1" applyAlignment="1">
      <alignment horizontal="center" vertical="center" wrapText="1"/>
    </xf>
    <xf numFmtId="0" fontId="0" fillId="4" borderId="31" xfId="39" applyFont="1" applyFill="1" applyBorder="1" applyAlignment="1">
      <alignment horizontal="center" vertical="center" wrapText="1"/>
    </xf>
    <xf numFmtId="0" fontId="0" fillId="4" borderId="32" xfId="39" applyFont="1" applyFill="1" applyBorder="1" applyAlignment="1">
      <alignment horizontal="center" vertical="center" wrapText="1"/>
    </xf>
    <xf numFmtId="0" fontId="18" fillId="8" borderId="30" xfId="39" applyFont="1" applyFill="1" applyBorder="1" applyAlignment="1">
      <alignment horizontal="center" vertical="center"/>
    </xf>
    <xf numFmtId="0" fontId="27" fillId="8" borderId="30" xfId="39" applyFill="1" applyBorder="1" applyAlignment="1">
      <alignment horizontal="center" vertical="center" wrapText="1"/>
    </xf>
    <xf numFmtId="0" fontId="27" fillId="8" borderId="31" xfId="39" applyFill="1" applyBorder="1" applyAlignment="1">
      <alignment horizontal="center" vertical="center" wrapText="1"/>
    </xf>
    <xf numFmtId="0" fontId="27" fillId="8" borderId="32" xfId="39" applyFill="1" applyBorder="1" applyAlignment="1">
      <alignment horizontal="center" vertical="center" wrapText="1"/>
    </xf>
    <xf numFmtId="0" fontId="72" fillId="4" borderId="30" xfId="39" applyFont="1" applyFill="1" applyBorder="1" applyAlignment="1">
      <alignment horizontal="center" vertical="center" wrapText="1" shrinkToFit="1"/>
    </xf>
    <xf numFmtId="0" fontId="50" fillId="4" borderId="31" xfId="39" applyFont="1" applyFill="1" applyBorder="1" applyAlignment="1">
      <alignment horizontal="center" vertical="center" shrinkToFit="1"/>
    </xf>
    <xf numFmtId="0" fontId="50" fillId="4" borderId="32" xfId="39" applyFont="1" applyFill="1" applyBorder="1" applyAlignment="1">
      <alignment horizontal="center" vertical="center" shrinkToFit="1"/>
    </xf>
    <xf numFmtId="0" fontId="1" fillId="8" borderId="18" xfId="35" applyFont="1" applyFill="1" applyBorder="1">
      <alignment vertical="center"/>
    </xf>
    <xf numFmtId="0" fontId="12" fillId="4" borderId="18" xfId="37" applyFont="1" applyFill="1" applyBorder="1" applyAlignment="1">
      <alignment horizontal="center" vertical="center"/>
    </xf>
    <xf numFmtId="0" fontId="12" fillId="4" borderId="30" xfId="37" applyFont="1" applyFill="1" applyBorder="1" applyAlignment="1">
      <alignment horizontal="center" vertical="center" shrinkToFit="1"/>
    </xf>
    <xf numFmtId="0" fontId="12" fillId="4" borderId="30" xfId="37" applyFont="1" applyFill="1" applyBorder="1" applyAlignment="1">
      <alignment horizontal="center" vertical="center"/>
    </xf>
    <xf numFmtId="0" fontId="68" fillId="8" borderId="18" xfId="35" applyFont="1" applyFill="1" applyBorder="1">
      <alignment vertical="center"/>
    </xf>
    <xf numFmtId="0" fontId="48" fillId="8" borderId="18" xfId="35" applyFont="1" applyFill="1" applyBorder="1" applyAlignment="1">
      <alignment horizontal="center" vertical="center" shrinkToFit="1"/>
    </xf>
    <xf numFmtId="0" fontId="68" fillId="8" borderId="18" xfId="35" applyFont="1" applyFill="1" applyBorder="1" applyAlignment="1">
      <alignment horizontal="center" vertical="center" shrinkToFit="1"/>
    </xf>
    <xf numFmtId="0" fontId="44" fillId="4" borderId="18" xfId="33" applyFont="1" applyFill="1" applyBorder="1" applyAlignment="1">
      <alignment horizontal="center" vertical="center"/>
    </xf>
    <xf numFmtId="0" fontId="44" fillId="2" borderId="19" xfId="33" applyFont="1" applyFill="1" applyBorder="1" applyAlignment="1">
      <alignment horizontal="left" vertical="center" wrapText="1"/>
    </xf>
    <xf numFmtId="0" fontId="22" fillId="5" borderId="21" xfId="73" applyFill="1" applyBorder="1" applyAlignment="1">
      <alignment horizontal="center" vertical="center"/>
    </xf>
    <xf numFmtId="0" fontId="22" fillId="5" borderId="19" xfId="73" applyFill="1" applyBorder="1" applyAlignment="1">
      <alignment horizontal="center" vertical="center"/>
    </xf>
    <xf numFmtId="0" fontId="22" fillId="5" borderId="25" xfId="73" applyFill="1" applyBorder="1" applyAlignment="1">
      <alignment horizontal="center" vertical="center"/>
    </xf>
    <xf numFmtId="0" fontId="22" fillId="5" borderId="24" xfId="73" applyFill="1" applyBorder="1" applyAlignment="1">
      <alignment horizontal="center" vertical="center" wrapText="1"/>
    </xf>
    <xf numFmtId="0" fontId="22" fillId="5" borderId="20" xfId="73" applyFill="1" applyBorder="1" applyAlignment="1">
      <alignment horizontal="center" vertical="center"/>
    </xf>
    <xf numFmtId="0" fontId="22" fillId="5" borderId="34" xfId="73" applyFill="1" applyBorder="1" applyAlignment="1">
      <alignment horizontal="center" vertical="center"/>
    </xf>
    <xf numFmtId="0" fontId="22" fillId="5" borderId="35" xfId="73" applyFill="1" applyBorder="1" applyAlignment="1">
      <alignment horizontal="center" vertical="center"/>
    </xf>
    <xf numFmtId="0" fontId="44" fillId="4" borderId="30" xfId="33" applyFont="1" applyFill="1" applyBorder="1" applyAlignment="1">
      <alignment horizontal="center" vertical="center"/>
    </xf>
    <xf numFmtId="0" fontId="44" fillId="4" borderId="31" xfId="33" applyFont="1" applyFill="1" applyBorder="1" applyAlignment="1">
      <alignment horizontal="center" vertical="center"/>
    </xf>
    <xf numFmtId="0" fontId="44" fillId="4" borderId="32" xfId="33" applyFont="1" applyFill="1" applyBorder="1" applyAlignment="1">
      <alignment horizontal="center" vertical="center"/>
    </xf>
    <xf numFmtId="0" fontId="44" fillId="8" borderId="30" xfId="33" applyFont="1" applyFill="1" applyBorder="1" applyAlignment="1">
      <alignment horizontal="center" vertical="center"/>
    </xf>
    <xf numFmtId="0" fontId="44" fillId="8" borderId="31" xfId="33" applyFont="1" applyFill="1" applyBorder="1" applyAlignment="1">
      <alignment horizontal="center" vertical="center"/>
    </xf>
    <xf numFmtId="0" fontId="44" fillId="8" borderId="32" xfId="33" applyFont="1" applyFill="1" applyBorder="1" applyAlignment="1">
      <alignment horizontal="center" vertical="center"/>
    </xf>
    <xf numFmtId="0" fontId="1" fillId="8" borderId="18" xfId="33" applyFont="1" applyFill="1" applyBorder="1" applyAlignment="1">
      <alignment horizontal="center" vertical="center"/>
    </xf>
    <xf numFmtId="0" fontId="27" fillId="8" borderId="18" xfId="33" applyFill="1" applyBorder="1" applyAlignment="1">
      <alignment horizontal="center" vertical="center"/>
    </xf>
    <xf numFmtId="0" fontId="18" fillId="4" borderId="18" xfId="33" applyFont="1" applyFill="1" applyBorder="1" applyAlignment="1">
      <alignment horizontal="center" vertical="center"/>
    </xf>
    <xf numFmtId="0" fontId="1" fillId="4" borderId="18" xfId="33" applyFont="1" applyFill="1" applyBorder="1" applyAlignment="1">
      <alignment horizontal="center" vertical="center"/>
    </xf>
    <xf numFmtId="0" fontId="21" fillId="4" borderId="18" xfId="33" applyFont="1" applyFill="1" applyBorder="1" applyAlignment="1">
      <alignment horizontal="center" vertical="center"/>
    </xf>
    <xf numFmtId="0" fontId="27" fillId="8" borderId="18" xfId="39" applyFill="1" applyBorder="1" applyAlignment="1">
      <alignment horizontal="center" vertical="center"/>
    </xf>
    <xf numFmtId="0" fontId="27" fillId="8" borderId="30" xfId="33" applyFill="1" applyBorder="1" applyAlignment="1">
      <alignment horizontal="center" vertical="center"/>
    </xf>
    <xf numFmtId="0" fontId="27" fillId="8" borderId="31" xfId="33" applyFill="1" applyBorder="1" applyAlignment="1">
      <alignment horizontal="center" vertical="center"/>
    </xf>
    <xf numFmtId="0" fontId="27" fillId="8" borderId="32" xfId="33" applyFill="1" applyBorder="1" applyAlignment="1">
      <alignment horizontal="center" vertical="center"/>
    </xf>
    <xf numFmtId="0" fontId="21" fillId="4" borderId="30" xfId="37" applyFont="1" applyFill="1" applyBorder="1" applyAlignment="1">
      <alignment horizontal="center" vertical="center"/>
    </xf>
    <xf numFmtId="0" fontId="21" fillId="4" borderId="18" xfId="37" applyFont="1" applyFill="1" applyBorder="1" applyAlignment="1">
      <alignment horizontal="center" vertical="center" shrinkToFit="1"/>
    </xf>
    <xf numFmtId="0" fontId="27" fillId="4" borderId="18" xfId="37" applyFill="1" applyBorder="1" applyAlignment="1">
      <alignment horizontal="center" vertical="center" shrinkToFit="1"/>
    </xf>
    <xf numFmtId="0" fontId="21" fillId="4" borderId="30" xfId="37" applyFont="1" applyFill="1" applyBorder="1" applyAlignment="1">
      <alignment horizontal="center" vertical="center" shrinkToFit="1"/>
    </xf>
    <xf numFmtId="0" fontId="21" fillId="4" borderId="18" xfId="37" applyFont="1" applyFill="1" applyBorder="1" applyAlignment="1">
      <alignment horizontal="center" vertical="center"/>
    </xf>
    <xf numFmtId="0" fontId="68" fillId="8" borderId="18" xfId="39" applyFont="1" applyFill="1" applyBorder="1" applyAlignment="1">
      <alignment horizontal="center" vertical="center"/>
    </xf>
    <xf numFmtId="0" fontId="48" fillId="8" borderId="18" xfId="39" applyFont="1" applyFill="1" applyBorder="1" applyAlignment="1">
      <alignment horizontal="center" vertical="center"/>
    </xf>
    <xf numFmtId="0" fontId="71" fillId="8" borderId="18" xfId="35" applyFont="1" applyFill="1" applyBorder="1" applyAlignment="1">
      <alignment vertical="center" wrapText="1"/>
    </xf>
    <xf numFmtId="0" fontId="27" fillId="8" borderId="18" xfId="35" applyFill="1" applyBorder="1" applyAlignment="1">
      <alignment horizontal="center" vertical="center"/>
    </xf>
    <xf numFmtId="0" fontId="27" fillId="5" borderId="30" xfId="35" applyFill="1" applyBorder="1" applyAlignment="1">
      <alignment horizontal="center" vertical="center"/>
    </xf>
    <xf numFmtId="0" fontId="27" fillId="5" borderId="31" xfId="35" applyFill="1" applyBorder="1" applyAlignment="1">
      <alignment horizontal="center" vertical="center"/>
    </xf>
    <xf numFmtId="0" fontId="27" fillId="5" borderId="32" xfId="35" applyFill="1" applyBorder="1" applyAlignment="1">
      <alignment horizontal="center" vertical="center"/>
    </xf>
    <xf numFmtId="0" fontId="48" fillId="8" borderId="18" xfId="35" applyFont="1" applyFill="1" applyBorder="1" applyAlignment="1">
      <alignment horizontal="center" vertical="center"/>
    </xf>
    <xf numFmtId="0" fontId="27" fillId="5" borderId="22" xfId="35" applyFill="1" applyBorder="1" applyAlignment="1">
      <alignment horizontal="center" vertical="center" wrapText="1"/>
    </xf>
    <xf numFmtId="0" fontId="27" fillId="5" borderId="0" xfId="35" applyFill="1" applyAlignment="1">
      <alignment horizontal="center" vertical="center" wrapText="1"/>
    </xf>
    <xf numFmtId="0" fontId="27" fillId="5" borderId="29" xfId="35" applyFill="1" applyBorder="1" applyAlignment="1">
      <alignment horizontal="center" vertical="center" wrapText="1"/>
    </xf>
    <xf numFmtId="0" fontId="13" fillId="5" borderId="20" xfId="35" applyFont="1" applyFill="1" applyBorder="1" applyAlignment="1">
      <alignment horizontal="center" vertical="center"/>
    </xf>
    <xf numFmtId="0" fontId="27" fillId="5" borderId="68" xfId="35" applyFill="1" applyBorder="1" applyAlignment="1">
      <alignment horizontal="center" vertical="center" wrapText="1"/>
    </xf>
    <xf numFmtId="0" fontId="13" fillId="5" borderId="22" xfId="35" applyFont="1" applyFill="1" applyBorder="1" applyAlignment="1">
      <alignment horizontal="center" vertical="center" wrapText="1"/>
    </xf>
    <xf numFmtId="0" fontId="48" fillId="8" borderId="30" xfId="35" applyFont="1" applyFill="1" applyBorder="1" applyAlignment="1">
      <alignment horizontal="center" vertical="center"/>
    </xf>
    <xf numFmtId="0" fontId="48" fillId="8" borderId="31" xfId="35" applyFont="1" applyFill="1" applyBorder="1" applyAlignment="1">
      <alignment horizontal="center" vertical="center"/>
    </xf>
    <xf numFmtId="0" fontId="48" fillId="8" borderId="32" xfId="35" applyFont="1" applyFill="1" applyBorder="1" applyAlignment="1">
      <alignment horizontal="center" vertical="center"/>
    </xf>
    <xf numFmtId="0" fontId="16" fillId="5" borderId="30" xfId="35" applyFont="1" applyFill="1" applyBorder="1" applyAlignment="1">
      <alignment horizontal="center" vertical="center"/>
    </xf>
    <xf numFmtId="176" fontId="48" fillId="8" borderId="18" xfId="32" applyNumberFormat="1" applyFont="1" applyFill="1" applyBorder="1" applyAlignment="1" applyProtection="1">
      <alignment horizontal="right" vertical="center" shrinkToFit="1"/>
      <protection locked="0"/>
    </xf>
    <xf numFmtId="0" fontId="59" fillId="4" borderId="18" xfId="31" applyFont="1" applyFill="1" applyBorder="1" applyAlignment="1">
      <alignment horizontal="center" vertical="center"/>
    </xf>
    <xf numFmtId="0" fontId="48" fillId="8" borderId="18" xfId="31" applyFont="1" applyFill="1" applyBorder="1" applyAlignment="1" applyProtection="1">
      <alignment horizontal="center" vertical="center" shrinkToFit="1"/>
      <protection locked="0"/>
    </xf>
    <xf numFmtId="0" fontId="48" fillId="8" borderId="18" xfId="31" applyFont="1" applyFill="1" applyBorder="1" applyAlignment="1" applyProtection="1">
      <alignment horizontal="center" vertical="center"/>
      <protection locked="0"/>
    </xf>
    <xf numFmtId="0" fontId="58" fillId="4" borderId="18" xfId="31" applyFont="1" applyFill="1" applyBorder="1" applyAlignment="1">
      <alignment horizontal="center" vertical="center"/>
    </xf>
    <xf numFmtId="176" fontId="48" fillId="0" borderId="18" xfId="32" applyNumberFormat="1" applyFont="1" applyFill="1" applyBorder="1" applyAlignment="1" applyProtection="1">
      <alignment horizontal="right" vertical="center" shrinkToFit="1"/>
    </xf>
    <xf numFmtId="0" fontId="48" fillId="4" borderId="63" xfId="31" applyFont="1" applyFill="1" applyBorder="1" applyAlignment="1">
      <alignment horizontal="center" vertical="center" shrinkToFit="1"/>
    </xf>
    <xf numFmtId="0" fontId="45" fillId="4" borderId="18" xfId="31" applyFont="1" applyFill="1" applyBorder="1" applyAlignment="1">
      <alignment horizontal="center" vertical="center"/>
    </xf>
    <xf numFmtId="0" fontId="59" fillId="8" borderId="18" xfId="31" applyFont="1" applyFill="1" applyBorder="1" applyAlignment="1" applyProtection="1">
      <alignment horizontal="center" vertical="center" shrinkToFit="1"/>
      <protection locked="0"/>
    </xf>
    <xf numFmtId="0" fontId="61" fillId="0" borderId="0" xfId="25" applyFont="1" applyAlignment="1">
      <alignment horizontal="left" vertical="center" wrapText="1"/>
    </xf>
    <xf numFmtId="0" fontId="44" fillId="2" borderId="0" xfId="31" applyFont="1" applyFill="1" applyAlignment="1">
      <alignment horizontal="center" vertical="center"/>
    </xf>
    <xf numFmtId="0" fontId="44" fillId="2" borderId="30" xfId="31" applyFont="1" applyFill="1" applyBorder="1" applyAlignment="1">
      <alignment horizontal="center" vertical="top"/>
    </xf>
    <xf numFmtId="0" fontId="44" fillId="2" borderId="32" xfId="31" applyFont="1" applyFill="1" applyBorder="1" applyAlignment="1">
      <alignment horizontal="center" vertical="top"/>
    </xf>
    <xf numFmtId="0" fontId="45" fillId="2" borderId="0" xfId="31" applyFont="1" applyFill="1" applyAlignment="1">
      <alignment horizontal="left" vertical="center" wrapText="1"/>
    </xf>
    <xf numFmtId="0" fontId="59" fillId="2" borderId="30" xfId="31" applyFont="1" applyFill="1" applyBorder="1" applyAlignment="1">
      <alignment horizontal="center" vertical="top"/>
    </xf>
    <xf numFmtId="0" fontId="59" fillId="2" borderId="32" xfId="31" applyFont="1" applyFill="1" applyBorder="1" applyAlignment="1">
      <alignment horizontal="center" vertical="top"/>
    </xf>
    <xf numFmtId="0" fontId="45" fillId="2" borderId="0" xfId="31" applyFont="1" applyFill="1" applyAlignment="1">
      <alignment horizontal="left" vertical="center" wrapText="1" shrinkToFit="1"/>
    </xf>
    <xf numFmtId="0" fontId="59" fillId="2" borderId="30" xfId="31" applyFont="1" applyFill="1" applyBorder="1" applyAlignment="1">
      <alignment horizontal="center" vertical="center"/>
    </xf>
    <xf numFmtId="0" fontId="59" fillId="2" borderId="32" xfId="31" applyFont="1" applyFill="1" applyBorder="1" applyAlignment="1">
      <alignment horizontal="center" vertical="center"/>
    </xf>
    <xf numFmtId="0" fontId="44" fillId="4" borderId="30" xfId="31" applyFont="1" applyFill="1" applyBorder="1" applyAlignment="1">
      <alignment horizontal="left" vertical="center"/>
    </xf>
    <xf numFmtId="0" fontId="44" fillId="4" borderId="31" xfId="31" applyFont="1" applyFill="1" applyBorder="1" applyAlignment="1">
      <alignment horizontal="left" vertical="center"/>
    </xf>
    <xf numFmtId="0" fontId="44" fillId="4" borderId="32" xfId="31" applyFont="1" applyFill="1" applyBorder="1" applyAlignment="1">
      <alignment horizontal="left" vertical="center"/>
    </xf>
    <xf numFmtId="176" fontId="48" fillId="0" borderId="30" xfId="31" applyNumberFormat="1" applyFont="1" applyBorder="1" applyAlignment="1">
      <alignment horizontal="right" vertical="center" shrinkToFit="1"/>
    </xf>
    <xf numFmtId="176" fontId="48" fillId="0" borderId="31" xfId="31" applyNumberFormat="1" applyFont="1" applyBorder="1" applyAlignment="1">
      <alignment horizontal="right" vertical="center" shrinkToFit="1"/>
    </xf>
    <xf numFmtId="176" fontId="48" fillId="0" borderId="32" xfId="31" applyNumberFormat="1" applyFont="1" applyBorder="1" applyAlignment="1">
      <alignment horizontal="right" vertical="center" shrinkToFit="1"/>
    </xf>
    <xf numFmtId="176" fontId="48" fillId="0" borderId="18" xfId="31" applyNumberFormat="1" applyFont="1" applyBorder="1" applyAlignment="1">
      <alignment horizontal="right" vertical="center" shrinkToFit="1"/>
    </xf>
    <xf numFmtId="176" fontId="60" fillId="4" borderId="63" xfId="31" applyNumberFormat="1" applyFont="1" applyFill="1" applyBorder="1" applyAlignment="1">
      <alignment horizontal="center" vertical="center"/>
    </xf>
    <xf numFmtId="176" fontId="48" fillId="8" borderId="18" xfId="31" applyNumberFormat="1" applyFont="1" applyFill="1" applyBorder="1" applyAlignment="1" applyProtection="1">
      <alignment horizontal="right" vertical="center" shrinkToFit="1"/>
      <protection locked="0"/>
    </xf>
    <xf numFmtId="176" fontId="48" fillId="4" borderId="63" xfId="31" applyNumberFormat="1" applyFont="1" applyFill="1" applyBorder="1" applyAlignment="1">
      <alignment horizontal="right" vertical="center" shrinkToFit="1"/>
    </xf>
    <xf numFmtId="176" fontId="48" fillId="4" borderId="71" xfId="31" applyNumberFormat="1" applyFont="1" applyFill="1" applyBorder="1" applyAlignment="1">
      <alignment horizontal="center" vertical="center" shrinkToFit="1"/>
    </xf>
    <xf numFmtId="176" fontId="48" fillId="0" borderId="72" xfId="31" applyNumberFormat="1" applyFont="1" applyBorder="1" applyAlignment="1">
      <alignment horizontal="right" vertical="center" shrinkToFit="1"/>
    </xf>
    <xf numFmtId="176" fontId="48" fillId="0" borderId="73" xfId="31" applyNumberFormat="1" applyFont="1" applyBorder="1" applyAlignment="1">
      <alignment horizontal="right" vertical="center" shrinkToFit="1"/>
    </xf>
    <xf numFmtId="176" fontId="48" fillId="0" borderId="74" xfId="31" applyNumberFormat="1" applyFont="1" applyBorder="1" applyAlignment="1">
      <alignment horizontal="right" vertical="center" shrinkToFit="1"/>
    </xf>
    <xf numFmtId="0" fontId="45" fillId="2" borderId="0" xfId="31" applyFont="1" applyFill="1" applyAlignment="1">
      <alignment horizontal="center" vertical="center"/>
    </xf>
    <xf numFmtId="0" fontId="59" fillId="4" borderId="18" xfId="31" applyFont="1" applyFill="1" applyBorder="1" applyAlignment="1">
      <alignment horizontal="center" vertical="center" wrapText="1"/>
    </xf>
    <xf numFmtId="0" fontId="59" fillId="4" borderId="18" xfId="31" applyFont="1" applyFill="1" applyBorder="1" applyAlignment="1">
      <alignment horizontal="center" vertical="center" textRotation="255"/>
    </xf>
    <xf numFmtId="0" fontId="44" fillId="4" borderId="18" xfId="31" applyFont="1" applyFill="1" applyBorder="1" applyAlignment="1">
      <alignment horizontal="left" vertical="center"/>
    </xf>
    <xf numFmtId="176" fontId="60" fillId="0" borderId="63" xfId="31" applyNumberFormat="1" applyFont="1" applyBorder="1" applyAlignment="1">
      <alignment horizontal="center" vertical="center"/>
    </xf>
    <xf numFmtId="0" fontId="44" fillId="4" borderId="18" xfId="31" applyFont="1" applyFill="1" applyBorder="1" applyAlignment="1">
      <alignment horizontal="center" vertical="center"/>
    </xf>
    <xf numFmtId="0" fontId="44" fillId="4" borderId="18" xfId="31" applyFont="1" applyFill="1" applyBorder="1" applyAlignment="1">
      <alignment horizontal="left" vertical="center" wrapText="1"/>
    </xf>
    <xf numFmtId="0" fontId="44" fillId="4" borderId="18" xfId="31" applyFont="1" applyFill="1" applyBorder="1" applyAlignment="1">
      <alignment horizontal="center" vertical="center" wrapText="1"/>
    </xf>
    <xf numFmtId="0" fontId="59" fillId="4" borderId="20" xfId="31" applyFont="1" applyFill="1" applyBorder="1" applyAlignment="1">
      <alignment horizontal="center" vertical="center" wrapText="1"/>
    </xf>
    <xf numFmtId="0" fontId="59" fillId="4" borderId="34" xfId="31" applyFont="1" applyFill="1" applyBorder="1" applyAlignment="1">
      <alignment horizontal="center" vertical="center" wrapText="1"/>
    </xf>
    <xf numFmtId="0" fontId="59" fillId="4" borderId="35" xfId="31" applyFont="1" applyFill="1" applyBorder="1" applyAlignment="1">
      <alignment horizontal="center" vertical="center" wrapText="1"/>
    </xf>
    <xf numFmtId="0" fontId="46" fillId="4" borderId="22" xfId="31" applyFont="1" applyFill="1" applyBorder="1" applyAlignment="1">
      <alignment horizontal="left" vertical="center" wrapText="1"/>
    </xf>
    <xf numFmtId="0" fontId="46" fillId="4" borderId="0" xfId="31" applyFont="1" applyFill="1" applyAlignment="1">
      <alignment horizontal="left" vertical="center" wrapText="1"/>
    </xf>
    <xf numFmtId="0" fontId="59" fillId="4" borderId="30" xfId="31" applyFont="1" applyFill="1" applyBorder="1" applyAlignment="1">
      <alignment horizontal="center" vertical="center"/>
    </xf>
    <xf numFmtId="0" fontId="59" fillId="4" borderId="31" xfId="31" applyFont="1" applyFill="1" applyBorder="1" applyAlignment="1">
      <alignment horizontal="center" vertical="center"/>
    </xf>
    <xf numFmtId="0" fontId="59" fillId="4" borderId="32" xfId="31" applyFont="1" applyFill="1" applyBorder="1" applyAlignment="1">
      <alignment horizontal="center" vertical="center"/>
    </xf>
    <xf numFmtId="0" fontId="45" fillId="2" borderId="30" xfId="31" applyFont="1" applyFill="1" applyBorder="1" applyAlignment="1">
      <alignment horizontal="center" vertical="center" shrinkToFit="1"/>
    </xf>
    <xf numFmtId="0" fontId="45" fillId="2" borderId="31" xfId="31" applyFont="1" applyFill="1" applyBorder="1" applyAlignment="1">
      <alignment horizontal="center" vertical="center" shrinkToFit="1"/>
    </xf>
    <xf numFmtId="0" fontId="45" fillId="2" borderId="32" xfId="31" applyFont="1" applyFill="1" applyBorder="1" applyAlignment="1">
      <alignment horizontal="center" vertical="center" shrinkToFit="1"/>
    </xf>
    <xf numFmtId="12" fontId="44" fillId="2" borderId="18" xfId="31" applyNumberFormat="1" applyFont="1" applyFill="1" applyBorder="1" applyAlignment="1">
      <alignment horizontal="center" vertical="center"/>
    </xf>
    <xf numFmtId="0" fontId="50" fillId="8" borderId="30" xfId="33" applyFont="1" applyFill="1" applyBorder="1" applyAlignment="1">
      <alignment horizontal="center" vertical="center"/>
    </xf>
    <xf numFmtId="0" fontId="50" fillId="8" borderId="31" xfId="33" applyFont="1" applyFill="1" applyBorder="1" applyAlignment="1">
      <alignment horizontal="center" vertical="center"/>
    </xf>
    <xf numFmtId="0" fontId="50" fillId="8" borderId="32" xfId="33" applyFont="1" applyFill="1" applyBorder="1" applyAlignment="1">
      <alignment horizontal="center" vertical="center"/>
    </xf>
    <xf numFmtId="0" fontId="72" fillId="8" borderId="18" xfId="35" applyFont="1" applyFill="1" applyBorder="1" applyAlignment="1">
      <alignment horizontal="left" vertical="center" wrapText="1"/>
    </xf>
    <xf numFmtId="0" fontId="50" fillId="8" borderId="18" xfId="35" applyFont="1" applyFill="1" applyBorder="1" applyAlignment="1">
      <alignment horizontal="left" vertical="center" wrapText="1"/>
    </xf>
    <xf numFmtId="0" fontId="50" fillId="8" borderId="30" xfId="33" applyFont="1" applyFill="1" applyBorder="1" applyAlignment="1">
      <alignment horizontal="left" vertical="center" wrapText="1"/>
    </xf>
    <xf numFmtId="0" fontId="50" fillId="8" borderId="31" xfId="33" applyFont="1" applyFill="1" applyBorder="1" applyAlignment="1">
      <alignment horizontal="left" vertical="center" wrapText="1"/>
    </xf>
    <xf numFmtId="0" fontId="50" fillId="8" borderId="32" xfId="33" applyFont="1" applyFill="1" applyBorder="1" applyAlignment="1">
      <alignment horizontal="left" vertical="center" wrapText="1"/>
    </xf>
    <xf numFmtId="0" fontId="1" fillId="8" borderId="18" xfId="35" applyFont="1" applyFill="1" applyBorder="1" applyAlignment="1">
      <alignment horizontal="center" vertical="center"/>
    </xf>
  </cellXfs>
  <cellStyles count="81">
    <cellStyle name="パーセント" xfId="80" builtinId="5"/>
    <cellStyle name="桁区切り 2" xfId="32" xr:uid="{00000000-0005-0000-0000-000001000000}"/>
    <cellStyle name="標準" xfId="0" builtinId="0"/>
    <cellStyle name="標準 10" xfId="9" xr:uid="{00000000-0005-0000-0000-000003000000}"/>
    <cellStyle name="標準 10 2" xfId="50" xr:uid="{00000000-0005-0000-0000-000004000000}"/>
    <cellStyle name="標準 11" xfId="10" xr:uid="{00000000-0005-0000-0000-000005000000}"/>
    <cellStyle name="標準 11 2" xfId="35" xr:uid="{00000000-0005-0000-0000-000006000000}"/>
    <cellStyle name="標準 11 2 2" xfId="73" xr:uid="{00000000-0005-0000-0000-000007000000}"/>
    <cellStyle name="標準 11 3" xfId="51" xr:uid="{00000000-0005-0000-0000-000008000000}"/>
    <cellStyle name="標準 12" xfId="11" xr:uid="{00000000-0005-0000-0000-000009000000}"/>
    <cellStyle name="標準 12 2" xfId="36" xr:uid="{00000000-0005-0000-0000-00000A000000}"/>
    <cellStyle name="標準 12 2 2" xfId="74" xr:uid="{00000000-0005-0000-0000-00000B000000}"/>
    <cellStyle name="標準 12 3" xfId="52" xr:uid="{00000000-0005-0000-0000-00000C000000}"/>
    <cellStyle name="標準 13" xfId="12" xr:uid="{00000000-0005-0000-0000-00000D000000}"/>
    <cellStyle name="標準 13 2" xfId="37" xr:uid="{00000000-0005-0000-0000-00000E000000}"/>
    <cellStyle name="標準 13 2 2" xfId="75" xr:uid="{00000000-0005-0000-0000-00000F000000}"/>
    <cellStyle name="標準 13 3" xfId="53" xr:uid="{00000000-0005-0000-0000-000010000000}"/>
    <cellStyle name="標準 14" xfId="13" xr:uid="{00000000-0005-0000-0000-000011000000}"/>
    <cellStyle name="標準 14 2" xfId="38" xr:uid="{00000000-0005-0000-0000-000012000000}"/>
    <cellStyle name="標準 14 2 2" xfId="76" xr:uid="{00000000-0005-0000-0000-000013000000}"/>
    <cellStyle name="標準 14 3" xfId="54" xr:uid="{00000000-0005-0000-0000-000014000000}"/>
    <cellStyle name="標準 15" xfId="14" xr:uid="{00000000-0005-0000-0000-000015000000}"/>
    <cellStyle name="標準 15 2" xfId="39" xr:uid="{00000000-0005-0000-0000-000016000000}"/>
    <cellStyle name="標準 15 2 2" xfId="77" xr:uid="{00000000-0005-0000-0000-000017000000}"/>
    <cellStyle name="標準 15 3" xfId="55" xr:uid="{00000000-0005-0000-0000-000018000000}"/>
    <cellStyle name="標準 16" xfId="15" xr:uid="{00000000-0005-0000-0000-000019000000}"/>
    <cellStyle name="標準 16 2" xfId="40" xr:uid="{00000000-0005-0000-0000-00001A000000}"/>
    <cellStyle name="標準 16 2 2" xfId="78" xr:uid="{00000000-0005-0000-0000-00001B000000}"/>
    <cellStyle name="標準 16 3" xfId="56" xr:uid="{00000000-0005-0000-0000-00001C000000}"/>
    <cellStyle name="標準 17" xfId="16" xr:uid="{00000000-0005-0000-0000-00001D000000}"/>
    <cellStyle name="標準 17 2" xfId="57" xr:uid="{00000000-0005-0000-0000-00001E000000}"/>
    <cellStyle name="標準 18" xfId="17" xr:uid="{00000000-0005-0000-0000-00001F000000}"/>
    <cellStyle name="標準 18 2" xfId="41" xr:uid="{00000000-0005-0000-0000-000020000000}"/>
    <cellStyle name="標準 18 2 2" xfId="79" xr:uid="{00000000-0005-0000-0000-000021000000}"/>
    <cellStyle name="標準 18 3" xfId="58" xr:uid="{00000000-0005-0000-0000-000022000000}"/>
    <cellStyle name="標準 19" xfId="18" xr:uid="{00000000-0005-0000-0000-000023000000}"/>
    <cellStyle name="標準 19 2" xfId="59" xr:uid="{00000000-0005-0000-0000-000024000000}"/>
    <cellStyle name="標準 2" xfId="1" xr:uid="{00000000-0005-0000-0000-000025000000}"/>
    <cellStyle name="標準 2 2" xfId="28" xr:uid="{00000000-0005-0000-0000-000026000000}"/>
    <cellStyle name="標準 2 2 2" xfId="24" xr:uid="{00000000-0005-0000-0000-000027000000}"/>
    <cellStyle name="標準 2 2 3" xfId="67" xr:uid="{00000000-0005-0000-0000-000028000000}"/>
    <cellStyle name="標準 2 3" xfId="31" xr:uid="{00000000-0005-0000-0000-000029000000}"/>
    <cellStyle name="標準 2 3 2" xfId="70" xr:uid="{00000000-0005-0000-0000-00002A000000}"/>
    <cellStyle name="標準 2 4" xfId="42" xr:uid="{00000000-0005-0000-0000-00002B000000}"/>
    <cellStyle name="標準 20" xfId="19" xr:uid="{00000000-0005-0000-0000-00002C000000}"/>
    <cellStyle name="標準 20 2" xfId="60" xr:uid="{00000000-0005-0000-0000-00002D000000}"/>
    <cellStyle name="標準 21" xfId="20" xr:uid="{00000000-0005-0000-0000-00002E000000}"/>
    <cellStyle name="標準 21 2" xfId="61" xr:uid="{00000000-0005-0000-0000-00002F000000}"/>
    <cellStyle name="標準 23" xfId="21" xr:uid="{00000000-0005-0000-0000-000030000000}"/>
    <cellStyle name="標準 23 2" xfId="62" xr:uid="{00000000-0005-0000-0000-000031000000}"/>
    <cellStyle name="標準 24" xfId="22" xr:uid="{00000000-0005-0000-0000-000032000000}"/>
    <cellStyle name="標準 24 2" xfId="33" xr:uid="{00000000-0005-0000-0000-000033000000}"/>
    <cellStyle name="標準 24 2 2" xfId="71" xr:uid="{00000000-0005-0000-0000-000034000000}"/>
    <cellStyle name="標準 24 3" xfId="63" xr:uid="{00000000-0005-0000-0000-000035000000}"/>
    <cellStyle name="標準 27" xfId="23" xr:uid="{00000000-0005-0000-0000-000036000000}"/>
    <cellStyle name="標準 27 2" xfId="64" xr:uid="{00000000-0005-0000-0000-000037000000}"/>
    <cellStyle name="標準 28" xfId="26" xr:uid="{00000000-0005-0000-0000-000038000000}"/>
    <cellStyle name="標準 28 2" xfId="65" xr:uid="{00000000-0005-0000-0000-000039000000}"/>
    <cellStyle name="標準 3" xfId="2" xr:uid="{00000000-0005-0000-0000-00003A000000}"/>
    <cellStyle name="標準 3 2" xfId="25" xr:uid="{00000000-0005-0000-0000-00003B000000}"/>
    <cellStyle name="標準 3 3" xfId="43" xr:uid="{00000000-0005-0000-0000-00003C000000}"/>
    <cellStyle name="標準 4" xfId="3" xr:uid="{00000000-0005-0000-0000-00003D000000}"/>
    <cellStyle name="標準 4 2" xfId="34" xr:uid="{00000000-0005-0000-0000-00003E000000}"/>
    <cellStyle name="標準 4 2 2" xfId="72" xr:uid="{00000000-0005-0000-0000-00003F000000}"/>
    <cellStyle name="標準 4 3" xfId="44" xr:uid="{00000000-0005-0000-0000-000040000000}"/>
    <cellStyle name="標準 5" xfId="4" xr:uid="{00000000-0005-0000-0000-000041000000}"/>
    <cellStyle name="標準 5 2" xfId="45" xr:uid="{00000000-0005-0000-0000-000042000000}"/>
    <cellStyle name="標準 6" xfId="5" xr:uid="{00000000-0005-0000-0000-000043000000}"/>
    <cellStyle name="標準 6 2" xfId="29" xr:uid="{00000000-0005-0000-0000-000044000000}"/>
    <cellStyle name="標準 6 2 2" xfId="68" xr:uid="{00000000-0005-0000-0000-000045000000}"/>
    <cellStyle name="標準 6 3" xfId="46" xr:uid="{00000000-0005-0000-0000-000046000000}"/>
    <cellStyle name="標準 7" xfId="6" xr:uid="{00000000-0005-0000-0000-000047000000}"/>
    <cellStyle name="標準 7 2" xfId="27" xr:uid="{00000000-0005-0000-0000-000048000000}"/>
    <cellStyle name="標準 7 2 2" xfId="66" xr:uid="{00000000-0005-0000-0000-000049000000}"/>
    <cellStyle name="標準 7 3" xfId="47" xr:uid="{00000000-0005-0000-0000-00004A000000}"/>
    <cellStyle name="標準 8" xfId="7" xr:uid="{00000000-0005-0000-0000-00004B000000}"/>
    <cellStyle name="標準 8 2" xfId="30" xr:uid="{00000000-0005-0000-0000-00004C000000}"/>
    <cellStyle name="標準 8 2 2" xfId="69" xr:uid="{00000000-0005-0000-0000-00004D000000}"/>
    <cellStyle name="標準 8 3" xfId="48" xr:uid="{00000000-0005-0000-0000-00004E000000}"/>
    <cellStyle name="標準 9" xfId="8" xr:uid="{00000000-0005-0000-0000-00004F000000}"/>
    <cellStyle name="標準 9 2" xfId="49" xr:uid="{00000000-0005-0000-0000-000050000000}"/>
  </cellStyles>
  <dxfs count="8">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s>
  <tableStyles count="0" defaultTableStyle="TableStyleMedium2" defaultPivotStyle="PivotStyleLight16"/>
  <colors>
    <mruColors>
      <color rgb="FFF2F7FC"/>
      <color rgb="FFA0A0A0"/>
      <color rgb="FFFF00F2"/>
      <color rgb="FF39FF14"/>
      <color rgb="FF0000FF"/>
      <color rgb="FFFFFFFF"/>
      <color rgb="FF4171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drawing1.xml><?xml version="1.0" encoding="utf-8"?>
<xdr:wsDr xmlns:xdr="http://schemas.openxmlformats.org/drawingml/2006/spreadsheetDrawing" xmlns:a="http://schemas.openxmlformats.org/drawingml/2006/main">
  <xdr:twoCellAnchor>
    <xdr:from>
      <xdr:col>41</xdr:col>
      <xdr:colOff>56444</xdr:colOff>
      <xdr:row>0</xdr:row>
      <xdr:rowOff>49388</xdr:rowOff>
    </xdr:from>
    <xdr:to>
      <xdr:col>64</xdr:col>
      <xdr:colOff>155221</xdr:colOff>
      <xdr:row>5</xdr:row>
      <xdr:rowOff>218721</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6469944" y="49388"/>
          <a:ext cx="3750027" cy="13864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l"/>
          <a:r>
            <a:rPr kumimoji="1" lang="ja-JP" altLang="en-US" sz="1100" b="1"/>
            <a:t>＜見積書の提出について＞</a:t>
          </a:r>
          <a:endParaRPr kumimoji="1" lang="en-US" altLang="ja-JP" sz="1100" b="1"/>
        </a:p>
        <a:p>
          <a:pPr algn="l"/>
          <a:r>
            <a:rPr kumimoji="1" lang="ja-JP" altLang="en-US" sz="1100" b="1"/>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41</xdr:col>
      <xdr:colOff>91722</xdr:colOff>
      <xdr:row>0</xdr:row>
      <xdr:rowOff>56445</xdr:rowOff>
    </xdr:from>
    <xdr:to>
      <xdr:col>65</xdr:col>
      <xdr:colOff>28222</xdr:colOff>
      <xdr:row>6</xdr:row>
      <xdr:rowOff>28222</xdr:rowOff>
    </xdr:to>
    <xdr:sp macro="" textlink="">
      <xdr:nvSpPr>
        <xdr:cNvPr id="2" name="正方形/長方形 1">
          <a:extLst>
            <a:ext uri="{FF2B5EF4-FFF2-40B4-BE49-F238E27FC236}">
              <a16:creationId xmlns:a16="http://schemas.microsoft.com/office/drawing/2014/main" id="{00000000-0008-0000-0A00-000002000000}"/>
            </a:ext>
          </a:extLst>
        </xdr:cNvPr>
        <xdr:cNvSpPr/>
      </xdr:nvSpPr>
      <xdr:spPr>
        <a:xfrm>
          <a:off x="6511572" y="56445"/>
          <a:ext cx="3746500"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twoCellAnchor>
    <xdr:from>
      <xdr:col>68</xdr:col>
      <xdr:colOff>116417</xdr:colOff>
      <xdr:row>8</xdr:row>
      <xdr:rowOff>42334</xdr:rowOff>
    </xdr:from>
    <xdr:to>
      <xdr:col>88</xdr:col>
      <xdr:colOff>31750</xdr:colOff>
      <xdr:row>12</xdr:row>
      <xdr:rowOff>183444</xdr:rowOff>
    </xdr:to>
    <xdr:sp macro="" textlink="">
      <xdr:nvSpPr>
        <xdr:cNvPr id="4" name="正方形/長方形 3">
          <a:extLst>
            <a:ext uri="{FF2B5EF4-FFF2-40B4-BE49-F238E27FC236}">
              <a16:creationId xmlns:a16="http://schemas.microsoft.com/office/drawing/2014/main" id="{00000000-0008-0000-0A00-000004000000}"/>
            </a:ext>
          </a:extLst>
        </xdr:cNvPr>
        <xdr:cNvSpPr/>
      </xdr:nvSpPr>
      <xdr:spPr>
        <a:xfrm>
          <a:off x="10720917" y="1989667"/>
          <a:ext cx="2995083" cy="14322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r>
            <a:rPr kumimoji="1" lang="ja-JP" altLang="ja-JP" sz="1100" b="1">
              <a:solidFill>
                <a:srgbClr val="FFFFFF"/>
              </a:solidFill>
              <a:effectLst/>
              <a:latin typeface="+mn-lt"/>
              <a:ea typeface="+mn-ea"/>
              <a:cs typeface="+mn-cs"/>
            </a:rPr>
            <a:t>調達方法が「リース」「レンタル」かつ、</a:t>
          </a:r>
          <a:endParaRPr kumimoji="1" lang="en-US" altLang="ja-JP" sz="1100" b="1">
            <a:solidFill>
              <a:srgbClr val="FFFFFF"/>
            </a:solidFill>
            <a:effectLst/>
            <a:latin typeface="+mn-lt"/>
            <a:ea typeface="+mn-ea"/>
            <a:cs typeface="+mn-cs"/>
          </a:endParaRPr>
        </a:p>
        <a:p>
          <a:r>
            <a:rPr kumimoji="1" lang="ja-JP" altLang="ja-JP" sz="1100" b="1">
              <a:solidFill>
                <a:srgbClr val="FFFFFF"/>
              </a:solidFill>
              <a:effectLst/>
              <a:latin typeface="+mn-lt"/>
              <a:ea typeface="+mn-ea"/>
              <a:cs typeface="+mn-cs"/>
            </a:rPr>
            <a:t>単価</a:t>
          </a:r>
          <a:r>
            <a:rPr kumimoji="1" lang="en-US" altLang="ja-JP" sz="1100" b="1">
              <a:solidFill>
                <a:srgbClr val="FFFFFF"/>
              </a:solidFill>
              <a:effectLst/>
              <a:latin typeface="+mn-lt"/>
              <a:ea typeface="+mn-ea"/>
              <a:cs typeface="+mn-cs"/>
            </a:rPr>
            <a:t>(B)</a:t>
          </a:r>
          <a:r>
            <a:rPr kumimoji="1" lang="ja-JP" altLang="ja-JP" sz="1100" b="1">
              <a:solidFill>
                <a:srgbClr val="FFFFFF"/>
              </a:solidFill>
              <a:effectLst/>
              <a:latin typeface="+mn-lt"/>
              <a:ea typeface="+mn-ea"/>
              <a:cs typeface="+mn-cs"/>
            </a:rPr>
            <a:t>が税抜</a:t>
          </a:r>
          <a:r>
            <a:rPr kumimoji="1" lang="en-US" altLang="ja-JP" sz="1100" b="1">
              <a:solidFill>
                <a:srgbClr val="FFFFFF"/>
              </a:solidFill>
              <a:effectLst/>
              <a:latin typeface="+mn-lt"/>
              <a:ea typeface="+mn-ea"/>
              <a:cs typeface="+mn-cs"/>
            </a:rPr>
            <a:t>10</a:t>
          </a:r>
          <a:r>
            <a:rPr kumimoji="1" lang="ja-JP" altLang="ja-JP" sz="1100" b="1">
              <a:solidFill>
                <a:srgbClr val="FFFFFF"/>
              </a:solidFill>
              <a:effectLst/>
              <a:latin typeface="+mn-lt"/>
              <a:ea typeface="+mn-ea"/>
              <a:cs typeface="+mn-cs"/>
            </a:rPr>
            <a:t>万円未満の場合、計算式上は単価欄が「</a:t>
          </a:r>
          <a:r>
            <a:rPr kumimoji="1" lang="en-US" altLang="ja-JP" sz="1100" b="1">
              <a:solidFill>
                <a:srgbClr val="FFFFFF"/>
              </a:solidFill>
              <a:effectLst/>
              <a:latin typeface="+mn-lt"/>
              <a:ea typeface="+mn-ea"/>
              <a:cs typeface="+mn-cs"/>
            </a:rPr>
            <a:t>×</a:t>
          </a:r>
          <a:r>
            <a:rPr kumimoji="1" lang="ja-JP" altLang="ja-JP" sz="1100" b="1">
              <a:solidFill>
                <a:srgbClr val="FFFFFF"/>
              </a:solidFill>
              <a:effectLst/>
              <a:latin typeface="+mn-lt"/>
              <a:ea typeface="+mn-ea"/>
              <a:cs typeface="+mn-cs"/>
            </a:rPr>
            <a:t>」になりますが、助成対象となります。</a:t>
          </a:r>
          <a:endParaRPr lang="ja-JP" altLang="ja-JP">
            <a:solidFill>
              <a:srgbClr val="FFFFFF"/>
            </a:solidFill>
            <a:effectLst/>
          </a:endParaRPr>
        </a:p>
        <a:p>
          <a:r>
            <a:rPr kumimoji="1" lang="en-US" altLang="ja-JP" sz="1100" b="1">
              <a:solidFill>
                <a:srgbClr val="FFFFFF"/>
              </a:solidFill>
              <a:effectLst/>
              <a:latin typeface="+mn-lt"/>
              <a:ea typeface="+mn-ea"/>
              <a:cs typeface="+mn-cs"/>
            </a:rPr>
            <a:t>※</a:t>
          </a:r>
          <a:r>
            <a:rPr kumimoji="1" lang="ja-JP" altLang="ja-JP" sz="1100" b="1">
              <a:solidFill>
                <a:srgbClr val="FFFFFF"/>
              </a:solidFill>
              <a:effectLst/>
              <a:latin typeface="+mn-lt"/>
              <a:ea typeface="+mn-ea"/>
              <a:cs typeface="+mn-cs"/>
            </a:rPr>
            <a:t>調達方法が「購入」かつ、単価</a:t>
          </a:r>
          <a:r>
            <a:rPr kumimoji="1" lang="en-US" altLang="ja-JP" sz="1100" b="1">
              <a:solidFill>
                <a:srgbClr val="FFFFFF"/>
              </a:solidFill>
              <a:effectLst/>
              <a:latin typeface="+mn-lt"/>
              <a:ea typeface="+mn-ea"/>
              <a:cs typeface="+mn-cs"/>
            </a:rPr>
            <a:t>(B)</a:t>
          </a:r>
          <a:r>
            <a:rPr kumimoji="1" lang="ja-JP" altLang="ja-JP" sz="1100" b="1">
              <a:solidFill>
                <a:srgbClr val="FFFFFF"/>
              </a:solidFill>
              <a:effectLst/>
              <a:latin typeface="+mn-lt"/>
              <a:ea typeface="+mn-ea"/>
              <a:cs typeface="+mn-cs"/>
            </a:rPr>
            <a:t>が税抜</a:t>
          </a:r>
          <a:r>
            <a:rPr kumimoji="1" lang="en-US" altLang="ja-JP" sz="1100" b="1">
              <a:solidFill>
                <a:srgbClr val="FFFFFF"/>
              </a:solidFill>
              <a:effectLst/>
              <a:latin typeface="+mn-lt"/>
              <a:ea typeface="+mn-ea"/>
              <a:cs typeface="+mn-cs"/>
            </a:rPr>
            <a:t>10</a:t>
          </a:r>
          <a:r>
            <a:rPr kumimoji="1" lang="ja-JP" altLang="ja-JP" sz="1100" b="1">
              <a:solidFill>
                <a:srgbClr val="FFFFFF"/>
              </a:solidFill>
              <a:effectLst/>
              <a:latin typeface="+mn-lt"/>
              <a:ea typeface="+mn-ea"/>
              <a:cs typeface="+mn-cs"/>
            </a:rPr>
            <a:t>万円未満の場合は、助成対象外</a:t>
          </a:r>
          <a:endParaRPr lang="ja-JP" altLang="ja-JP">
            <a:solidFill>
              <a:srgbClr val="FFFFFF"/>
            </a:solidFill>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41</xdr:col>
      <xdr:colOff>35277</xdr:colOff>
      <xdr:row>0</xdr:row>
      <xdr:rowOff>56446</xdr:rowOff>
    </xdr:from>
    <xdr:to>
      <xdr:col>64</xdr:col>
      <xdr:colOff>134054</xdr:colOff>
      <xdr:row>5</xdr:row>
      <xdr:rowOff>183445</xdr:rowOff>
    </xdr:to>
    <xdr:sp macro="" textlink="">
      <xdr:nvSpPr>
        <xdr:cNvPr id="2" name="正方形/長方形 1">
          <a:extLst>
            <a:ext uri="{FF2B5EF4-FFF2-40B4-BE49-F238E27FC236}">
              <a16:creationId xmlns:a16="http://schemas.microsoft.com/office/drawing/2014/main" id="{00000000-0008-0000-0B00-000002000000}"/>
            </a:ext>
          </a:extLst>
        </xdr:cNvPr>
        <xdr:cNvSpPr/>
      </xdr:nvSpPr>
      <xdr:spPr>
        <a:xfrm>
          <a:off x="6455127" y="56446"/>
          <a:ext cx="3750027" cy="1269999"/>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40</xdr:col>
      <xdr:colOff>162277</xdr:colOff>
      <xdr:row>0</xdr:row>
      <xdr:rowOff>35278</xdr:rowOff>
    </xdr:from>
    <xdr:to>
      <xdr:col>64</xdr:col>
      <xdr:colOff>98776</xdr:colOff>
      <xdr:row>6</xdr:row>
      <xdr:rowOff>7055</xdr:rowOff>
    </xdr:to>
    <xdr:sp macro="" textlink="">
      <xdr:nvSpPr>
        <xdr:cNvPr id="2" name="正方形/長方形 1">
          <a:extLst>
            <a:ext uri="{FF2B5EF4-FFF2-40B4-BE49-F238E27FC236}">
              <a16:creationId xmlns:a16="http://schemas.microsoft.com/office/drawing/2014/main" id="{00000000-0008-0000-0C00-000002000000}"/>
            </a:ext>
          </a:extLst>
        </xdr:cNvPr>
        <xdr:cNvSpPr/>
      </xdr:nvSpPr>
      <xdr:spPr>
        <a:xfrm>
          <a:off x="6417027" y="35278"/>
          <a:ext cx="3752849"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twoCellAnchor>
    <xdr:from>
      <xdr:col>69</xdr:col>
      <xdr:colOff>74083</xdr:colOff>
      <xdr:row>15</xdr:row>
      <xdr:rowOff>148167</xdr:rowOff>
    </xdr:from>
    <xdr:to>
      <xdr:col>84</xdr:col>
      <xdr:colOff>137584</xdr:colOff>
      <xdr:row>19</xdr:row>
      <xdr:rowOff>74083</xdr:rowOff>
    </xdr:to>
    <xdr:sp macro="" textlink="">
      <xdr:nvSpPr>
        <xdr:cNvPr id="3" name="四角形吹き出し 2">
          <a:extLst>
            <a:ext uri="{FF2B5EF4-FFF2-40B4-BE49-F238E27FC236}">
              <a16:creationId xmlns:a16="http://schemas.microsoft.com/office/drawing/2014/main" id="{00000000-0008-0000-0C00-000003000000}"/>
            </a:ext>
          </a:extLst>
        </xdr:cNvPr>
        <xdr:cNvSpPr/>
      </xdr:nvSpPr>
      <xdr:spPr>
        <a:xfrm>
          <a:off x="10932583" y="4751917"/>
          <a:ext cx="2444751" cy="899583"/>
        </a:xfrm>
        <a:prstGeom prst="wedgeRectCallout">
          <a:avLst>
            <a:gd name="adj1" fmla="val -74013"/>
            <a:gd name="adj2" fmla="val 3480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r>
            <a:rPr kumimoji="1" lang="ja-JP" altLang="en-US" sz="1100" b="1"/>
            <a:t>調査の結果、類似特許が無い場合は「類似特許なし」とご記入ください。</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41</xdr:col>
      <xdr:colOff>28221</xdr:colOff>
      <xdr:row>0</xdr:row>
      <xdr:rowOff>35278</xdr:rowOff>
    </xdr:from>
    <xdr:to>
      <xdr:col>64</xdr:col>
      <xdr:colOff>126998</xdr:colOff>
      <xdr:row>6</xdr:row>
      <xdr:rowOff>7055</xdr:rowOff>
    </xdr:to>
    <xdr:sp macro="" textlink="">
      <xdr:nvSpPr>
        <xdr:cNvPr id="2" name="正方形/長方形 1">
          <a:extLst>
            <a:ext uri="{FF2B5EF4-FFF2-40B4-BE49-F238E27FC236}">
              <a16:creationId xmlns:a16="http://schemas.microsoft.com/office/drawing/2014/main" id="{00000000-0008-0000-0D00-000002000000}"/>
            </a:ext>
          </a:extLst>
        </xdr:cNvPr>
        <xdr:cNvSpPr/>
      </xdr:nvSpPr>
      <xdr:spPr>
        <a:xfrm>
          <a:off x="6448071" y="35278"/>
          <a:ext cx="3750027"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41</xdr:col>
      <xdr:colOff>84666</xdr:colOff>
      <xdr:row>0</xdr:row>
      <xdr:rowOff>49389</xdr:rowOff>
    </xdr:from>
    <xdr:to>
      <xdr:col>65</xdr:col>
      <xdr:colOff>21166</xdr:colOff>
      <xdr:row>6</xdr:row>
      <xdr:rowOff>21166</xdr:rowOff>
    </xdr:to>
    <xdr:sp macro="" textlink="">
      <xdr:nvSpPr>
        <xdr:cNvPr id="2" name="正方形/長方形 1">
          <a:extLst>
            <a:ext uri="{FF2B5EF4-FFF2-40B4-BE49-F238E27FC236}">
              <a16:creationId xmlns:a16="http://schemas.microsoft.com/office/drawing/2014/main" id="{00000000-0008-0000-0E00-000002000000}"/>
            </a:ext>
          </a:extLst>
        </xdr:cNvPr>
        <xdr:cNvSpPr/>
      </xdr:nvSpPr>
      <xdr:spPr>
        <a:xfrm>
          <a:off x="6504516" y="49389"/>
          <a:ext cx="3746500"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41</xdr:col>
      <xdr:colOff>77610</xdr:colOff>
      <xdr:row>0</xdr:row>
      <xdr:rowOff>63500</xdr:rowOff>
    </xdr:from>
    <xdr:to>
      <xdr:col>65</xdr:col>
      <xdr:colOff>14110</xdr:colOff>
      <xdr:row>6</xdr:row>
      <xdr:rowOff>35277</xdr:rowOff>
    </xdr:to>
    <xdr:sp macro="" textlink="">
      <xdr:nvSpPr>
        <xdr:cNvPr id="2" name="正方形/長方形 1">
          <a:extLst>
            <a:ext uri="{FF2B5EF4-FFF2-40B4-BE49-F238E27FC236}">
              <a16:creationId xmlns:a16="http://schemas.microsoft.com/office/drawing/2014/main" id="{00000000-0008-0000-0F00-000002000000}"/>
            </a:ext>
          </a:extLst>
        </xdr:cNvPr>
        <xdr:cNvSpPr/>
      </xdr:nvSpPr>
      <xdr:spPr>
        <a:xfrm>
          <a:off x="6497460" y="63500"/>
          <a:ext cx="3746500"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41</xdr:col>
      <xdr:colOff>35277</xdr:colOff>
      <xdr:row>0</xdr:row>
      <xdr:rowOff>42334</xdr:rowOff>
    </xdr:from>
    <xdr:to>
      <xdr:col>64</xdr:col>
      <xdr:colOff>134054</xdr:colOff>
      <xdr:row>6</xdr:row>
      <xdr:rowOff>14111</xdr:rowOff>
    </xdr:to>
    <xdr:sp macro="" textlink="">
      <xdr:nvSpPr>
        <xdr:cNvPr id="2" name="正方形/長方形 1">
          <a:extLst>
            <a:ext uri="{FF2B5EF4-FFF2-40B4-BE49-F238E27FC236}">
              <a16:creationId xmlns:a16="http://schemas.microsoft.com/office/drawing/2014/main" id="{00000000-0008-0000-1000-000002000000}"/>
            </a:ext>
          </a:extLst>
        </xdr:cNvPr>
        <xdr:cNvSpPr/>
      </xdr:nvSpPr>
      <xdr:spPr>
        <a:xfrm>
          <a:off x="6455127" y="42334"/>
          <a:ext cx="3750027"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41</xdr:col>
      <xdr:colOff>14110</xdr:colOff>
      <xdr:row>0</xdr:row>
      <xdr:rowOff>35278</xdr:rowOff>
    </xdr:from>
    <xdr:to>
      <xdr:col>64</xdr:col>
      <xdr:colOff>112887</xdr:colOff>
      <xdr:row>6</xdr:row>
      <xdr:rowOff>7055</xdr:rowOff>
    </xdr:to>
    <xdr:sp macro="" textlink="">
      <xdr:nvSpPr>
        <xdr:cNvPr id="2" name="正方形/長方形 1">
          <a:extLst>
            <a:ext uri="{FF2B5EF4-FFF2-40B4-BE49-F238E27FC236}">
              <a16:creationId xmlns:a16="http://schemas.microsoft.com/office/drawing/2014/main" id="{00000000-0008-0000-1100-000002000000}"/>
            </a:ext>
          </a:extLst>
        </xdr:cNvPr>
        <xdr:cNvSpPr/>
      </xdr:nvSpPr>
      <xdr:spPr>
        <a:xfrm>
          <a:off x="6433960" y="35278"/>
          <a:ext cx="3750027"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41</xdr:col>
      <xdr:colOff>14111</xdr:colOff>
      <xdr:row>0</xdr:row>
      <xdr:rowOff>42333</xdr:rowOff>
    </xdr:from>
    <xdr:to>
      <xdr:col>64</xdr:col>
      <xdr:colOff>112888</xdr:colOff>
      <xdr:row>6</xdr:row>
      <xdr:rowOff>14110</xdr:rowOff>
    </xdr:to>
    <xdr:sp macro="" textlink="">
      <xdr:nvSpPr>
        <xdr:cNvPr id="2" name="正方形/長方形 1">
          <a:extLst>
            <a:ext uri="{FF2B5EF4-FFF2-40B4-BE49-F238E27FC236}">
              <a16:creationId xmlns:a16="http://schemas.microsoft.com/office/drawing/2014/main" id="{00000000-0008-0000-1200-000002000000}"/>
            </a:ext>
          </a:extLst>
        </xdr:cNvPr>
        <xdr:cNvSpPr/>
      </xdr:nvSpPr>
      <xdr:spPr>
        <a:xfrm>
          <a:off x="6433961" y="42333"/>
          <a:ext cx="3750027"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41</xdr:col>
      <xdr:colOff>70556</xdr:colOff>
      <xdr:row>0</xdr:row>
      <xdr:rowOff>42334</xdr:rowOff>
    </xdr:from>
    <xdr:to>
      <xdr:col>65</xdr:col>
      <xdr:colOff>7056</xdr:colOff>
      <xdr:row>6</xdr:row>
      <xdr:rowOff>14111</xdr:rowOff>
    </xdr:to>
    <xdr:sp macro="" textlink="">
      <xdr:nvSpPr>
        <xdr:cNvPr id="2" name="正方形/長方形 1">
          <a:extLst>
            <a:ext uri="{FF2B5EF4-FFF2-40B4-BE49-F238E27FC236}">
              <a16:creationId xmlns:a16="http://schemas.microsoft.com/office/drawing/2014/main" id="{00000000-0008-0000-1300-000002000000}"/>
            </a:ext>
          </a:extLst>
        </xdr:cNvPr>
        <xdr:cNvSpPr/>
      </xdr:nvSpPr>
      <xdr:spPr>
        <a:xfrm>
          <a:off x="6490406" y="42334"/>
          <a:ext cx="3746500"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twoCellAnchor>
    <xdr:from>
      <xdr:col>69</xdr:col>
      <xdr:colOff>21167</xdr:colOff>
      <xdr:row>6</xdr:row>
      <xdr:rowOff>211667</xdr:rowOff>
    </xdr:from>
    <xdr:to>
      <xdr:col>85</xdr:col>
      <xdr:colOff>95250</xdr:colOff>
      <xdr:row>10</xdr:row>
      <xdr:rowOff>21167</xdr:rowOff>
    </xdr:to>
    <xdr:sp macro="" textlink="">
      <xdr:nvSpPr>
        <xdr:cNvPr id="4" name="正方形/長方形 3">
          <a:extLst>
            <a:ext uri="{FF2B5EF4-FFF2-40B4-BE49-F238E27FC236}">
              <a16:creationId xmlns:a16="http://schemas.microsoft.com/office/drawing/2014/main" id="{00000000-0008-0000-1300-000004000000}"/>
            </a:ext>
          </a:extLst>
        </xdr:cNvPr>
        <xdr:cNvSpPr/>
      </xdr:nvSpPr>
      <xdr:spPr>
        <a:xfrm>
          <a:off x="10784417" y="1672167"/>
          <a:ext cx="2614083" cy="94191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r>
            <a:rPr kumimoji="1" lang="ja-JP" altLang="ja-JP" sz="1100" b="1" baseline="0">
              <a:solidFill>
                <a:srgbClr val="FFFFFF"/>
              </a:solidFill>
              <a:effectLst/>
              <a:latin typeface="+mn-lt"/>
              <a:ea typeface="+mn-ea"/>
              <a:cs typeface="+mn-cs"/>
            </a:rPr>
            <a:t>調達方法について、物品以外のものは「未選択」としてください。</a:t>
          </a:r>
          <a:endParaRPr lang="ja-JP" altLang="ja-JP" baseline="0">
            <a:solidFill>
              <a:srgbClr val="FFFFFF"/>
            </a:solidFill>
            <a:effectLst/>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64</xdr:col>
      <xdr:colOff>123825</xdr:colOff>
      <xdr:row>1</xdr:row>
      <xdr:rowOff>152400</xdr:rowOff>
    </xdr:from>
    <xdr:to>
      <xdr:col>87</xdr:col>
      <xdr:colOff>149577</xdr:colOff>
      <xdr:row>6</xdr:row>
      <xdr:rowOff>115357</xdr:rowOff>
    </xdr:to>
    <xdr:sp macro="" textlink="">
      <xdr:nvSpPr>
        <xdr:cNvPr id="2" name="正方形/長方形 1">
          <a:extLst>
            <a:ext uri="{FF2B5EF4-FFF2-40B4-BE49-F238E27FC236}">
              <a16:creationId xmlns:a16="http://schemas.microsoft.com/office/drawing/2014/main" id="{00000000-0008-0000-1400-000002000000}"/>
            </a:ext>
          </a:extLst>
        </xdr:cNvPr>
        <xdr:cNvSpPr/>
      </xdr:nvSpPr>
      <xdr:spPr>
        <a:xfrm>
          <a:off x="10296525" y="390525"/>
          <a:ext cx="3750027" cy="1344082"/>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＜見積書の記載について＞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見積書の記載は「一式」とせず、経費の内訳及び内容（規格・メーカー・型番・単価・数量等）が分かるものを提出してください。相見積の場合も同様です。</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64</xdr:col>
      <xdr:colOff>133350</xdr:colOff>
      <xdr:row>7</xdr:row>
      <xdr:rowOff>38101</xdr:rowOff>
    </xdr:from>
    <xdr:to>
      <xdr:col>83</xdr:col>
      <xdr:colOff>19050</xdr:colOff>
      <xdr:row>9</xdr:row>
      <xdr:rowOff>19051</xdr:rowOff>
    </xdr:to>
    <xdr:sp macro="" textlink="">
      <xdr:nvSpPr>
        <xdr:cNvPr id="4" name="正方形/長方形 3">
          <a:extLst>
            <a:ext uri="{FF2B5EF4-FFF2-40B4-BE49-F238E27FC236}">
              <a16:creationId xmlns:a16="http://schemas.microsoft.com/office/drawing/2014/main" id="{00000000-0008-0000-1400-000004000000}"/>
            </a:ext>
          </a:extLst>
        </xdr:cNvPr>
        <xdr:cNvSpPr/>
      </xdr:nvSpPr>
      <xdr:spPr>
        <a:xfrm>
          <a:off x="10306050" y="2085976"/>
          <a:ext cx="2962275" cy="838200"/>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r>
            <a:rPr kumimoji="1" lang="ja-JP" altLang="en-US" sz="1100" b="1">
              <a:solidFill>
                <a:srgbClr val="FFFFFF"/>
              </a:solidFill>
              <a:effectLst/>
              <a:latin typeface="+mn-lt"/>
              <a:ea typeface="+mn-ea"/>
              <a:cs typeface="+mn-cs"/>
            </a:rPr>
            <a:t>見積金額は、</a:t>
          </a:r>
          <a:r>
            <a:rPr kumimoji="1" lang="ja-JP" altLang="ja-JP" sz="1100" b="1">
              <a:solidFill>
                <a:srgbClr val="FFFFFF"/>
              </a:solidFill>
              <a:effectLst/>
              <a:latin typeface="+mn-lt"/>
              <a:ea typeface="+mn-ea"/>
              <a:cs typeface="+mn-cs"/>
            </a:rPr>
            <a:t>税抜価格にてご記入ください。</a:t>
          </a:r>
          <a:endParaRPr lang="ja-JP" altLang="ja-JP">
            <a:solidFill>
              <a:srgbClr val="FFFFFF"/>
            </a:solidFill>
            <a:effectLst/>
          </a:endParaRPr>
        </a:p>
        <a:p>
          <a:r>
            <a:rPr kumimoji="1" lang="en-US" altLang="ja-JP" sz="1100" b="1">
              <a:solidFill>
                <a:srgbClr val="FFFFFF"/>
              </a:solidFill>
              <a:effectLst/>
              <a:latin typeface="+mn-lt"/>
              <a:ea typeface="+mn-ea"/>
              <a:cs typeface="+mn-cs"/>
            </a:rPr>
            <a:t>※</a:t>
          </a:r>
          <a:r>
            <a:rPr kumimoji="1" lang="ja-JP" altLang="ja-JP" sz="1100" b="1">
              <a:solidFill>
                <a:srgbClr val="FFFFFF"/>
              </a:solidFill>
              <a:effectLst/>
              <a:latin typeface="+mn-lt"/>
              <a:ea typeface="+mn-ea"/>
              <a:cs typeface="+mn-cs"/>
            </a:rPr>
            <a:t>業者名を記載しないでください。</a:t>
          </a:r>
          <a:endParaRPr lang="ja-JP" altLang="ja-JP">
            <a:solidFill>
              <a:srgbClr val="FFFFFF"/>
            </a:solidFill>
            <a:effectLst/>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21</xdr:col>
      <xdr:colOff>123825</xdr:colOff>
      <xdr:row>5</xdr:row>
      <xdr:rowOff>9525</xdr:rowOff>
    </xdr:from>
    <xdr:to>
      <xdr:col>24</xdr:col>
      <xdr:colOff>121485</xdr:colOff>
      <xdr:row>5</xdr:row>
      <xdr:rowOff>214694</xdr:rowOff>
    </xdr:to>
    <xdr:sp macro="" textlink="">
      <xdr:nvSpPr>
        <xdr:cNvPr id="2" name="テキスト ボックス 1">
          <a:extLst>
            <a:ext uri="{FF2B5EF4-FFF2-40B4-BE49-F238E27FC236}">
              <a16:creationId xmlns:a16="http://schemas.microsoft.com/office/drawing/2014/main" id="{00000000-0008-0000-1500-000002000000}"/>
            </a:ext>
          </a:extLst>
        </xdr:cNvPr>
        <xdr:cNvSpPr txBox="1"/>
      </xdr:nvSpPr>
      <xdr:spPr>
        <a:xfrm>
          <a:off x="3781425" y="2054225"/>
          <a:ext cx="435810" cy="205169"/>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n-ea"/>
              <a:ea typeface="+mn-ea"/>
            </a:rPr>
            <a:t>注１</a:t>
          </a:r>
        </a:p>
      </xdr:txBody>
    </xdr:sp>
    <xdr:clientData/>
  </xdr:twoCellAnchor>
  <xdr:twoCellAnchor>
    <xdr:from>
      <xdr:col>31</xdr:col>
      <xdr:colOff>92364</xdr:colOff>
      <xdr:row>5</xdr:row>
      <xdr:rowOff>5772</xdr:rowOff>
    </xdr:from>
    <xdr:to>
      <xdr:col>34</xdr:col>
      <xdr:colOff>90024</xdr:colOff>
      <xdr:row>5</xdr:row>
      <xdr:rowOff>210941</xdr:rowOff>
    </xdr:to>
    <xdr:sp macro="" textlink="">
      <xdr:nvSpPr>
        <xdr:cNvPr id="3" name="テキスト ボックス 2">
          <a:extLst>
            <a:ext uri="{FF2B5EF4-FFF2-40B4-BE49-F238E27FC236}">
              <a16:creationId xmlns:a16="http://schemas.microsoft.com/office/drawing/2014/main" id="{00000000-0008-0000-1500-000003000000}"/>
            </a:ext>
          </a:extLst>
        </xdr:cNvPr>
        <xdr:cNvSpPr txBox="1"/>
      </xdr:nvSpPr>
      <xdr:spPr>
        <a:xfrm>
          <a:off x="5210464" y="2050472"/>
          <a:ext cx="435810" cy="205169"/>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n-ea"/>
              <a:ea typeface="+mn-ea"/>
            </a:rPr>
            <a:t>注２</a:t>
          </a:r>
        </a:p>
      </xdr:txBody>
    </xdr:sp>
    <xdr:clientData/>
  </xdr:twoCellAnchor>
  <xdr:twoCellAnchor>
    <xdr:from>
      <xdr:col>42</xdr:col>
      <xdr:colOff>0</xdr:colOff>
      <xdr:row>5</xdr:row>
      <xdr:rowOff>0</xdr:rowOff>
    </xdr:from>
    <xdr:to>
      <xdr:col>44</xdr:col>
      <xdr:colOff>141979</xdr:colOff>
      <xdr:row>5</xdr:row>
      <xdr:rowOff>205169</xdr:rowOff>
    </xdr:to>
    <xdr:sp macro="" textlink="">
      <xdr:nvSpPr>
        <xdr:cNvPr id="4" name="テキスト ボックス 3">
          <a:extLst>
            <a:ext uri="{FF2B5EF4-FFF2-40B4-BE49-F238E27FC236}">
              <a16:creationId xmlns:a16="http://schemas.microsoft.com/office/drawing/2014/main" id="{00000000-0008-0000-1500-000004000000}"/>
            </a:ext>
          </a:extLst>
        </xdr:cNvPr>
        <xdr:cNvSpPr txBox="1"/>
      </xdr:nvSpPr>
      <xdr:spPr>
        <a:xfrm>
          <a:off x="6724650" y="2044700"/>
          <a:ext cx="434079" cy="205169"/>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n-ea"/>
              <a:ea typeface="+mn-ea"/>
            </a:rPr>
            <a:t>注３</a:t>
          </a:r>
        </a:p>
      </xdr:txBody>
    </xdr:sp>
    <xdr:clientData/>
  </xdr:twoCellAnchor>
  <xdr:twoCellAnchor>
    <xdr:from>
      <xdr:col>0</xdr:col>
      <xdr:colOff>75044</xdr:colOff>
      <xdr:row>27</xdr:row>
      <xdr:rowOff>51954</xdr:rowOff>
    </xdr:from>
    <xdr:to>
      <xdr:col>1</xdr:col>
      <xdr:colOff>132772</xdr:colOff>
      <xdr:row>29</xdr:row>
      <xdr:rowOff>0</xdr:rowOff>
    </xdr:to>
    <xdr:sp macro="" textlink="">
      <xdr:nvSpPr>
        <xdr:cNvPr id="5" name="テキスト ボックス 4">
          <a:extLst>
            <a:ext uri="{FF2B5EF4-FFF2-40B4-BE49-F238E27FC236}">
              <a16:creationId xmlns:a16="http://schemas.microsoft.com/office/drawing/2014/main" id="{00000000-0008-0000-1500-000005000000}"/>
            </a:ext>
          </a:extLst>
        </xdr:cNvPr>
        <xdr:cNvSpPr txBox="1"/>
      </xdr:nvSpPr>
      <xdr:spPr>
        <a:xfrm>
          <a:off x="75044" y="7170304"/>
          <a:ext cx="210128" cy="449696"/>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800">
              <a:latin typeface="+mn-ea"/>
              <a:ea typeface="+mn-ea"/>
            </a:rPr>
            <a:t>注４</a:t>
          </a:r>
        </a:p>
      </xdr:txBody>
    </xdr:sp>
    <xdr:clientData/>
  </xdr:twoCellAnchor>
  <xdr:twoCellAnchor>
    <xdr:from>
      <xdr:col>46</xdr:col>
      <xdr:colOff>3174</xdr:colOff>
      <xdr:row>0</xdr:row>
      <xdr:rowOff>0</xdr:rowOff>
    </xdr:from>
    <xdr:to>
      <xdr:col>50</xdr:col>
      <xdr:colOff>590551</xdr:colOff>
      <xdr:row>3</xdr:row>
      <xdr:rowOff>215900</xdr:rowOff>
    </xdr:to>
    <xdr:sp macro="" textlink="">
      <xdr:nvSpPr>
        <xdr:cNvPr id="9" name="四角形吹き出し 8">
          <a:extLst>
            <a:ext uri="{FF2B5EF4-FFF2-40B4-BE49-F238E27FC236}">
              <a16:creationId xmlns:a16="http://schemas.microsoft.com/office/drawing/2014/main" id="{00000000-0008-0000-1500-000009000000}"/>
            </a:ext>
          </a:extLst>
        </xdr:cNvPr>
        <xdr:cNvSpPr/>
      </xdr:nvSpPr>
      <xdr:spPr>
        <a:xfrm>
          <a:off x="7026274" y="0"/>
          <a:ext cx="3203577" cy="952500"/>
        </a:xfrm>
        <a:custGeom>
          <a:avLst/>
          <a:gdLst>
            <a:gd name="connsiteX0" fmla="*/ 0 w 2476500"/>
            <a:gd name="connsiteY0" fmla="*/ 0 h 962025"/>
            <a:gd name="connsiteX1" fmla="*/ 1444625 w 2476500"/>
            <a:gd name="connsiteY1" fmla="*/ 0 h 962025"/>
            <a:gd name="connsiteX2" fmla="*/ 1444625 w 2476500"/>
            <a:gd name="connsiteY2" fmla="*/ 0 h 962025"/>
            <a:gd name="connsiteX3" fmla="*/ 2063750 w 2476500"/>
            <a:gd name="connsiteY3" fmla="*/ 0 h 962025"/>
            <a:gd name="connsiteX4" fmla="*/ 2476500 w 2476500"/>
            <a:gd name="connsiteY4" fmla="*/ 0 h 962025"/>
            <a:gd name="connsiteX5" fmla="*/ 2476500 w 2476500"/>
            <a:gd name="connsiteY5" fmla="*/ 561181 h 962025"/>
            <a:gd name="connsiteX6" fmla="*/ 3951132 w 2476500"/>
            <a:gd name="connsiteY6" fmla="*/ 685856 h 962025"/>
            <a:gd name="connsiteX7" fmla="*/ 2476500 w 2476500"/>
            <a:gd name="connsiteY7" fmla="*/ 801688 h 962025"/>
            <a:gd name="connsiteX8" fmla="*/ 2476500 w 2476500"/>
            <a:gd name="connsiteY8" fmla="*/ 962025 h 962025"/>
            <a:gd name="connsiteX9" fmla="*/ 2063750 w 2476500"/>
            <a:gd name="connsiteY9" fmla="*/ 962025 h 962025"/>
            <a:gd name="connsiteX10" fmla="*/ 1444625 w 2476500"/>
            <a:gd name="connsiteY10" fmla="*/ 962025 h 962025"/>
            <a:gd name="connsiteX11" fmla="*/ 1444625 w 2476500"/>
            <a:gd name="connsiteY11" fmla="*/ 962025 h 962025"/>
            <a:gd name="connsiteX12" fmla="*/ 0 w 2476500"/>
            <a:gd name="connsiteY12" fmla="*/ 962025 h 962025"/>
            <a:gd name="connsiteX13" fmla="*/ 0 w 2476500"/>
            <a:gd name="connsiteY13" fmla="*/ 801688 h 962025"/>
            <a:gd name="connsiteX14" fmla="*/ 0 w 2476500"/>
            <a:gd name="connsiteY14" fmla="*/ 561181 h 962025"/>
            <a:gd name="connsiteX15" fmla="*/ 0 w 2476500"/>
            <a:gd name="connsiteY15" fmla="*/ 561181 h 962025"/>
            <a:gd name="connsiteX16" fmla="*/ 0 w 2476500"/>
            <a:gd name="connsiteY16" fmla="*/ 0 h 962025"/>
            <a:gd name="connsiteX0" fmla="*/ 0 w 2476500"/>
            <a:gd name="connsiteY0" fmla="*/ 0 h 962025"/>
            <a:gd name="connsiteX1" fmla="*/ 1444625 w 2476500"/>
            <a:gd name="connsiteY1" fmla="*/ 0 h 962025"/>
            <a:gd name="connsiteX2" fmla="*/ 1444625 w 2476500"/>
            <a:gd name="connsiteY2" fmla="*/ 0 h 962025"/>
            <a:gd name="connsiteX3" fmla="*/ 2063750 w 2476500"/>
            <a:gd name="connsiteY3" fmla="*/ 0 h 962025"/>
            <a:gd name="connsiteX4" fmla="*/ 2476500 w 2476500"/>
            <a:gd name="connsiteY4" fmla="*/ 0 h 962025"/>
            <a:gd name="connsiteX5" fmla="*/ 2476500 w 2476500"/>
            <a:gd name="connsiteY5" fmla="*/ 561181 h 962025"/>
            <a:gd name="connsiteX6" fmla="*/ 2476500 w 2476500"/>
            <a:gd name="connsiteY6" fmla="*/ 801688 h 962025"/>
            <a:gd name="connsiteX7" fmla="*/ 2476500 w 2476500"/>
            <a:gd name="connsiteY7" fmla="*/ 962025 h 962025"/>
            <a:gd name="connsiteX8" fmla="*/ 2063750 w 2476500"/>
            <a:gd name="connsiteY8" fmla="*/ 962025 h 962025"/>
            <a:gd name="connsiteX9" fmla="*/ 1444625 w 2476500"/>
            <a:gd name="connsiteY9" fmla="*/ 962025 h 962025"/>
            <a:gd name="connsiteX10" fmla="*/ 1444625 w 2476500"/>
            <a:gd name="connsiteY10" fmla="*/ 962025 h 962025"/>
            <a:gd name="connsiteX11" fmla="*/ 0 w 2476500"/>
            <a:gd name="connsiteY11" fmla="*/ 962025 h 962025"/>
            <a:gd name="connsiteX12" fmla="*/ 0 w 2476500"/>
            <a:gd name="connsiteY12" fmla="*/ 801688 h 962025"/>
            <a:gd name="connsiteX13" fmla="*/ 0 w 2476500"/>
            <a:gd name="connsiteY13" fmla="*/ 561181 h 962025"/>
            <a:gd name="connsiteX14" fmla="*/ 0 w 2476500"/>
            <a:gd name="connsiteY14" fmla="*/ 561181 h 962025"/>
            <a:gd name="connsiteX15" fmla="*/ 0 w 2476500"/>
            <a:gd name="connsiteY15" fmla="*/ 0 h 9620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2476500" h="962025">
              <a:moveTo>
                <a:pt x="0" y="0"/>
              </a:moveTo>
              <a:lnTo>
                <a:pt x="1444625" y="0"/>
              </a:lnTo>
              <a:lnTo>
                <a:pt x="1444625" y="0"/>
              </a:lnTo>
              <a:lnTo>
                <a:pt x="2063750" y="0"/>
              </a:lnTo>
              <a:lnTo>
                <a:pt x="2476500" y="0"/>
              </a:lnTo>
              <a:lnTo>
                <a:pt x="2476500" y="561181"/>
              </a:lnTo>
              <a:lnTo>
                <a:pt x="2476500" y="801688"/>
              </a:lnTo>
              <a:lnTo>
                <a:pt x="2476500" y="962025"/>
              </a:lnTo>
              <a:lnTo>
                <a:pt x="2063750" y="962025"/>
              </a:lnTo>
              <a:lnTo>
                <a:pt x="1444625" y="962025"/>
              </a:lnTo>
              <a:lnTo>
                <a:pt x="1444625" y="962025"/>
              </a:lnTo>
              <a:lnTo>
                <a:pt x="0" y="962025"/>
              </a:lnTo>
              <a:lnTo>
                <a:pt x="0" y="801688"/>
              </a:lnTo>
              <a:lnTo>
                <a:pt x="0" y="561181"/>
              </a:lnTo>
              <a:lnTo>
                <a:pt x="0" y="561181"/>
              </a:lnTo>
              <a:lnTo>
                <a:pt x="0" y="0"/>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r>
            <a:rPr kumimoji="1" lang="ja-JP" altLang="en-US" sz="1100" b="1"/>
            <a:t>各経費区分シートの合計額と、本シートの金額が</a:t>
          </a:r>
          <a:endParaRPr kumimoji="1" lang="en-US" altLang="ja-JP" sz="1100" b="1"/>
        </a:p>
        <a:p>
          <a:pPr algn="l"/>
          <a:r>
            <a:rPr kumimoji="1" lang="ja-JP" altLang="en-US" sz="1100" b="1"/>
            <a:t>合っていることを確認してください。齟齬がある場合は適宜手入力を行い、金額を合わせてください。</a:t>
          </a:r>
        </a:p>
      </xdr:txBody>
    </xdr:sp>
    <xdr:clientData/>
  </xdr:twoCellAnchor>
  <xdr:twoCellAnchor>
    <xdr:from>
      <xdr:col>45</xdr:col>
      <xdr:colOff>295276</xdr:colOff>
      <xdr:row>3</xdr:row>
      <xdr:rowOff>219075</xdr:rowOff>
    </xdr:from>
    <xdr:to>
      <xdr:col>50</xdr:col>
      <xdr:colOff>571501</xdr:colOff>
      <xdr:row>10</xdr:row>
      <xdr:rowOff>190500</xdr:rowOff>
    </xdr:to>
    <xdr:sp macro="" textlink="">
      <xdr:nvSpPr>
        <xdr:cNvPr id="15" name="四角形吹き出し 14">
          <a:extLst>
            <a:ext uri="{FF2B5EF4-FFF2-40B4-BE49-F238E27FC236}">
              <a16:creationId xmlns:a16="http://schemas.microsoft.com/office/drawing/2014/main" id="{00000000-0008-0000-1500-00000F000000}"/>
            </a:ext>
          </a:extLst>
        </xdr:cNvPr>
        <xdr:cNvSpPr/>
      </xdr:nvSpPr>
      <xdr:spPr>
        <a:xfrm>
          <a:off x="7353301" y="1809750"/>
          <a:ext cx="3562350" cy="1628775"/>
        </a:xfrm>
        <a:custGeom>
          <a:avLst/>
          <a:gdLst>
            <a:gd name="connsiteX0" fmla="*/ 0 w 3562350"/>
            <a:gd name="connsiteY0" fmla="*/ 0 h 1428750"/>
            <a:gd name="connsiteX1" fmla="*/ 593725 w 3562350"/>
            <a:gd name="connsiteY1" fmla="*/ 0 h 1428750"/>
            <a:gd name="connsiteX2" fmla="*/ 593725 w 3562350"/>
            <a:gd name="connsiteY2" fmla="*/ 0 h 1428750"/>
            <a:gd name="connsiteX3" fmla="*/ 1484313 w 3562350"/>
            <a:gd name="connsiteY3" fmla="*/ 0 h 1428750"/>
            <a:gd name="connsiteX4" fmla="*/ 3562350 w 3562350"/>
            <a:gd name="connsiteY4" fmla="*/ 0 h 1428750"/>
            <a:gd name="connsiteX5" fmla="*/ 3562350 w 3562350"/>
            <a:gd name="connsiteY5" fmla="*/ 833438 h 1428750"/>
            <a:gd name="connsiteX6" fmla="*/ 3562350 w 3562350"/>
            <a:gd name="connsiteY6" fmla="*/ 833438 h 1428750"/>
            <a:gd name="connsiteX7" fmla="*/ 3562350 w 3562350"/>
            <a:gd name="connsiteY7" fmla="*/ 1190625 h 1428750"/>
            <a:gd name="connsiteX8" fmla="*/ 3562350 w 3562350"/>
            <a:gd name="connsiteY8" fmla="*/ 1428750 h 1428750"/>
            <a:gd name="connsiteX9" fmla="*/ 1484313 w 3562350"/>
            <a:gd name="connsiteY9" fmla="*/ 1428750 h 1428750"/>
            <a:gd name="connsiteX10" fmla="*/ 593725 w 3562350"/>
            <a:gd name="connsiteY10" fmla="*/ 1428750 h 1428750"/>
            <a:gd name="connsiteX11" fmla="*/ 593725 w 3562350"/>
            <a:gd name="connsiteY11" fmla="*/ 1428750 h 1428750"/>
            <a:gd name="connsiteX12" fmla="*/ 0 w 3562350"/>
            <a:gd name="connsiteY12" fmla="*/ 1428750 h 1428750"/>
            <a:gd name="connsiteX13" fmla="*/ 0 w 3562350"/>
            <a:gd name="connsiteY13" fmla="*/ 1190625 h 1428750"/>
            <a:gd name="connsiteX14" fmla="*/ -1710925 w 3562350"/>
            <a:gd name="connsiteY14" fmla="*/ 1460025 h 1428750"/>
            <a:gd name="connsiteX15" fmla="*/ 0 w 3562350"/>
            <a:gd name="connsiteY15" fmla="*/ 833438 h 1428750"/>
            <a:gd name="connsiteX16" fmla="*/ 0 w 3562350"/>
            <a:gd name="connsiteY16" fmla="*/ 0 h 1428750"/>
            <a:gd name="connsiteX0" fmla="*/ 0 w 3562350"/>
            <a:gd name="connsiteY0" fmla="*/ 0 h 1428750"/>
            <a:gd name="connsiteX1" fmla="*/ 593725 w 3562350"/>
            <a:gd name="connsiteY1" fmla="*/ 0 h 1428750"/>
            <a:gd name="connsiteX2" fmla="*/ 593725 w 3562350"/>
            <a:gd name="connsiteY2" fmla="*/ 0 h 1428750"/>
            <a:gd name="connsiteX3" fmla="*/ 1484313 w 3562350"/>
            <a:gd name="connsiteY3" fmla="*/ 0 h 1428750"/>
            <a:gd name="connsiteX4" fmla="*/ 3562350 w 3562350"/>
            <a:gd name="connsiteY4" fmla="*/ 0 h 1428750"/>
            <a:gd name="connsiteX5" fmla="*/ 3562350 w 3562350"/>
            <a:gd name="connsiteY5" fmla="*/ 833438 h 1428750"/>
            <a:gd name="connsiteX6" fmla="*/ 3562350 w 3562350"/>
            <a:gd name="connsiteY6" fmla="*/ 833438 h 1428750"/>
            <a:gd name="connsiteX7" fmla="*/ 3562350 w 3562350"/>
            <a:gd name="connsiteY7" fmla="*/ 1190625 h 1428750"/>
            <a:gd name="connsiteX8" fmla="*/ 3562350 w 3562350"/>
            <a:gd name="connsiteY8" fmla="*/ 1428750 h 1428750"/>
            <a:gd name="connsiteX9" fmla="*/ 1484313 w 3562350"/>
            <a:gd name="connsiteY9" fmla="*/ 1428750 h 1428750"/>
            <a:gd name="connsiteX10" fmla="*/ 593725 w 3562350"/>
            <a:gd name="connsiteY10" fmla="*/ 1428750 h 1428750"/>
            <a:gd name="connsiteX11" fmla="*/ 593725 w 3562350"/>
            <a:gd name="connsiteY11" fmla="*/ 1428750 h 1428750"/>
            <a:gd name="connsiteX12" fmla="*/ 0 w 3562350"/>
            <a:gd name="connsiteY12" fmla="*/ 1428750 h 1428750"/>
            <a:gd name="connsiteX13" fmla="*/ 0 w 3562350"/>
            <a:gd name="connsiteY13" fmla="*/ 1190625 h 1428750"/>
            <a:gd name="connsiteX14" fmla="*/ 0 w 3562350"/>
            <a:gd name="connsiteY14" fmla="*/ 833438 h 1428750"/>
            <a:gd name="connsiteX15" fmla="*/ 0 w 3562350"/>
            <a:gd name="connsiteY15" fmla="*/ 0 h 1428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3562350" h="1428750">
              <a:moveTo>
                <a:pt x="0" y="0"/>
              </a:moveTo>
              <a:lnTo>
                <a:pt x="593725" y="0"/>
              </a:lnTo>
              <a:lnTo>
                <a:pt x="593725" y="0"/>
              </a:lnTo>
              <a:lnTo>
                <a:pt x="1484313" y="0"/>
              </a:lnTo>
              <a:lnTo>
                <a:pt x="3562350" y="0"/>
              </a:lnTo>
              <a:lnTo>
                <a:pt x="3562350" y="833438"/>
              </a:lnTo>
              <a:lnTo>
                <a:pt x="3562350" y="833438"/>
              </a:lnTo>
              <a:lnTo>
                <a:pt x="3562350" y="1190625"/>
              </a:lnTo>
              <a:lnTo>
                <a:pt x="3562350" y="1428750"/>
              </a:lnTo>
              <a:lnTo>
                <a:pt x="1484313" y="1428750"/>
              </a:lnTo>
              <a:lnTo>
                <a:pt x="593725" y="1428750"/>
              </a:lnTo>
              <a:lnTo>
                <a:pt x="593725" y="1428750"/>
              </a:lnTo>
              <a:lnTo>
                <a:pt x="0" y="1428750"/>
              </a:lnTo>
              <a:lnTo>
                <a:pt x="0" y="1190625"/>
              </a:lnTo>
              <a:lnTo>
                <a:pt x="0" y="833438"/>
              </a:lnTo>
              <a:lnTo>
                <a:pt x="0" y="0"/>
              </a:lnTo>
              <a:close/>
            </a:path>
          </a:pathLst>
        </a:custGeom>
        <a:solidFill>
          <a:schemeClr val="accent1"/>
        </a:solidFill>
        <a:ln>
          <a:solidFill>
            <a:srgbClr val="41719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r>
            <a:rPr kumimoji="1" lang="ja-JP" altLang="en-US" sz="1100" b="1"/>
            <a:t>以下、単独申請項目以外の経費区分の申請がない場合は申請を受理できません。</a:t>
          </a:r>
          <a:endParaRPr kumimoji="1" lang="en-US" altLang="ja-JP" sz="1100" b="1"/>
        </a:p>
        <a:p>
          <a:pPr algn="l"/>
          <a:endParaRPr kumimoji="1" lang="en-US" altLang="ja-JP" sz="1100" b="1"/>
        </a:p>
        <a:p>
          <a:pPr algn="l"/>
          <a:r>
            <a:rPr kumimoji="1" lang="ja-JP" altLang="en-US" sz="1100" b="1"/>
            <a:t>・委託・外注費のうち市場調査費</a:t>
          </a:r>
          <a:endParaRPr kumimoji="1" lang="en-US" altLang="ja-JP" sz="1100" b="1"/>
        </a:p>
        <a:p>
          <a:pPr algn="l"/>
          <a:r>
            <a:rPr kumimoji="1" lang="ja-JP" altLang="en-US" sz="1100" b="1"/>
            <a:t>・専門家指導費</a:t>
          </a:r>
          <a:endParaRPr kumimoji="1" lang="en-US" altLang="ja-JP" sz="1100" b="1"/>
        </a:p>
        <a:p>
          <a:pPr algn="l"/>
          <a:r>
            <a:rPr kumimoji="1" lang="ja-JP" altLang="en-US" sz="1100" b="1"/>
            <a:t>・販売促進費</a:t>
          </a:r>
          <a:endParaRPr kumimoji="1" lang="en-US" altLang="ja-JP" sz="1100" b="1"/>
        </a:p>
        <a:p>
          <a:pPr algn="l"/>
          <a:r>
            <a:rPr kumimoji="1" lang="ja-JP" altLang="en-US" sz="1100" b="1"/>
            <a:t>・その他経費</a:t>
          </a:r>
        </a:p>
      </xdr:txBody>
    </xdr:sp>
    <xdr:clientData/>
  </xdr:twoCellAnchor>
  <xdr:twoCellAnchor>
    <xdr:from>
      <xdr:col>46</xdr:col>
      <xdr:colOff>0</xdr:colOff>
      <xdr:row>12</xdr:row>
      <xdr:rowOff>9525</xdr:rowOff>
    </xdr:from>
    <xdr:to>
      <xdr:col>50</xdr:col>
      <xdr:colOff>590550</xdr:colOff>
      <xdr:row>18</xdr:row>
      <xdr:rowOff>133350</xdr:rowOff>
    </xdr:to>
    <xdr:sp macro="" textlink="">
      <xdr:nvSpPr>
        <xdr:cNvPr id="22" name="四角形吹き出し 14">
          <a:extLst>
            <a:ext uri="{FF2B5EF4-FFF2-40B4-BE49-F238E27FC236}">
              <a16:creationId xmlns:a16="http://schemas.microsoft.com/office/drawing/2014/main" id="{00000000-0008-0000-1500-000016000000}"/>
            </a:ext>
          </a:extLst>
        </xdr:cNvPr>
        <xdr:cNvSpPr/>
      </xdr:nvSpPr>
      <xdr:spPr>
        <a:xfrm>
          <a:off x="7023100" y="3660775"/>
          <a:ext cx="3206750" cy="1508125"/>
        </a:xfrm>
        <a:custGeom>
          <a:avLst/>
          <a:gdLst>
            <a:gd name="connsiteX0" fmla="*/ 0 w 3562350"/>
            <a:gd name="connsiteY0" fmla="*/ 0 h 1428750"/>
            <a:gd name="connsiteX1" fmla="*/ 593725 w 3562350"/>
            <a:gd name="connsiteY1" fmla="*/ 0 h 1428750"/>
            <a:gd name="connsiteX2" fmla="*/ 593725 w 3562350"/>
            <a:gd name="connsiteY2" fmla="*/ 0 h 1428750"/>
            <a:gd name="connsiteX3" fmla="*/ 1484313 w 3562350"/>
            <a:gd name="connsiteY3" fmla="*/ 0 h 1428750"/>
            <a:gd name="connsiteX4" fmla="*/ 3562350 w 3562350"/>
            <a:gd name="connsiteY4" fmla="*/ 0 h 1428750"/>
            <a:gd name="connsiteX5" fmla="*/ 3562350 w 3562350"/>
            <a:gd name="connsiteY5" fmla="*/ 833438 h 1428750"/>
            <a:gd name="connsiteX6" fmla="*/ 3562350 w 3562350"/>
            <a:gd name="connsiteY6" fmla="*/ 833438 h 1428750"/>
            <a:gd name="connsiteX7" fmla="*/ 3562350 w 3562350"/>
            <a:gd name="connsiteY7" fmla="*/ 1190625 h 1428750"/>
            <a:gd name="connsiteX8" fmla="*/ 3562350 w 3562350"/>
            <a:gd name="connsiteY8" fmla="*/ 1428750 h 1428750"/>
            <a:gd name="connsiteX9" fmla="*/ 1484313 w 3562350"/>
            <a:gd name="connsiteY9" fmla="*/ 1428750 h 1428750"/>
            <a:gd name="connsiteX10" fmla="*/ 593725 w 3562350"/>
            <a:gd name="connsiteY10" fmla="*/ 1428750 h 1428750"/>
            <a:gd name="connsiteX11" fmla="*/ 593725 w 3562350"/>
            <a:gd name="connsiteY11" fmla="*/ 1428750 h 1428750"/>
            <a:gd name="connsiteX12" fmla="*/ 0 w 3562350"/>
            <a:gd name="connsiteY12" fmla="*/ 1428750 h 1428750"/>
            <a:gd name="connsiteX13" fmla="*/ 0 w 3562350"/>
            <a:gd name="connsiteY13" fmla="*/ 1190625 h 1428750"/>
            <a:gd name="connsiteX14" fmla="*/ -1710925 w 3562350"/>
            <a:gd name="connsiteY14" fmla="*/ 1460025 h 1428750"/>
            <a:gd name="connsiteX15" fmla="*/ 0 w 3562350"/>
            <a:gd name="connsiteY15" fmla="*/ 833438 h 1428750"/>
            <a:gd name="connsiteX16" fmla="*/ 0 w 3562350"/>
            <a:gd name="connsiteY16" fmla="*/ 0 h 1428750"/>
            <a:gd name="connsiteX0" fmla="*/ 0 w 3562350"/>
            <a:gd name="connsiteY0" fmla="*/ 0 h 1428750"/>
            <a:gd name="connsiteX1" fmla="*/ 593725 w 3562350"/>
            <a:gd name="connsiteY1" fmla="*/ 0 h 1428750"/>
            <a:gd name="connsiteX2" fmla="*/ 593725 w 3562350"/>
            <a:gd name="connsiteY2" fmla="*/ 0 h 1428750"/>
            <a:gd name="connsiteX3" fmla="*/ 1484313 w 3562350"/>
            <a:gd name="connsiteY3" fmla="*/ 0 h 1428750"/>
            <a:gd name="connsiteX4" fmla="*/ 3562350 w 3562350"/>
            <a:gd name="connsiteY4" fmla="*/ 0 h 1428750"/>
            <a:gd name="connsiteX5" fmla="*/ 3562350 w 3562350"/>
            <a:gd name="connsiteY5" fmla="*/ 833438 h 1428750"/>
            <a:gd name="connsiteX6" fmla="*/ 3562350 w 3562350"/>
            <a:gd name="connsiteY6" fmla="*/ 833438 h 1428750"/>
            <a:gd name="connsiteX7" fmla="*/ 3562350 w 3562350"/>
            <a:gd name="connsiteY7" fmla="*/ 1190625 h 1428750"/>
            <a:gd name="connsiteX8" fmla="*/ 3562350 w 3562350"/>
            <a:gd name="connsiteY8" fmla="*/ 1428750 h 1428750"/>
            <a:gd name="connsiteX9" fmla="*/ 1484313 w 3562350"/>
            <a:gd name="connsiteY9" fmla="*/ 1428750 h 1428750"/>
            <a:gd name="connsiteX10" fmla="*/ 593725 w 3562350"/>
            <a:gd name="connsiteY10" fmla="*/ 1428750 h 1428750"/>
            <a:gd name="connsiteX11" fmla="*/ 593725 w 3562350"/>
            <a:gd name="connsiteY11" fmla="*/ 1428750 h 1428750"/>
            <a:gd name="connsiteX12" fmla="*/ 0 w 3562350"/>
            <a:gd name="connsiteY12" fmla="*/ 1428750 h 1428750"/>
            <a:gd name="connsiteX13" fmla="*/ 0 w 3562350"/>
            <a:gd name="connsiteY13" fmla="*/ 1190625 h 1428750"/>
            <a:gd name="connsiteX14" fmla="*/ 0 w 3562350"/>
            <a:gd name="connsiteY14" fmla="*/ 833438 h 1428750"/>
            <a:gd name="connsiteX15" fmla="*/ 0 w 3562350"/>
            <a:gd name="connsiteY15" fmla="*/ 0 h 1428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3562350" h="1428750">
              <a:moveTo>
                <a:pt x="0" y="0"/>
              </a:moveTo>
              <a:lnTo>
                <a:pt x="593725" y="0"/>
              </a:lnTo>
              <a:lnTo>
                <a:pt x="593725" y="0"/>
              </a:lnTo>
              <a:lnTo>
                <a:pt x="1484313" y="0"/>
              </a:lnTo>
              <a:lnTo>
                <a:pt x="3562350" y="0"/>
              </a:lnTo>
              <a:lnTo>
                <a:pt x="3562350" y="833438"/>
              </a:lnTo>
              <a:lnTo>
                <a:pt x="3562350" y="833438"/>
              </a:lnTo>
              <a:lnTo>
                <a:pt x="3562350" y="1190625"/>
              </a:lnTo>
              <a:lnTo>
                <a:pt x="3562350" y="1428750"/>
              </a:lnTo>
              <a:lnTo>
                <a:pt x="1484313" y="1428750"/>
              </a:lnTo>
              <a:lnTo>
                <a:pt x="593725" y="1428750"/>
              </a:lnTo>
              <a:lnTo>
                <a:pt x="593725" y="1428750"/>
              </a:lnTo>
              <a:lnTo>
                <a:pt x="0" y="1428750"/>
              </a:lnTo>
              <a:lnTo>
                <a:pt x="0" y="1190625"/>
              </a:lnTo>
              <a:lnTo>
                <a:pt x="0" y="833438"/>
              </a:lnTo>
              <a:lnTo>
                <a:pt x="0" y="0"/>
              </a:lnTo>
              <a:close/>
            </a:path>
          </a:pathLst>
        </a:custGeom>
        <a:solidFill>
          <a:schemeClr val="accent1"/>
        </a:solidFill>
        <a:ln>
          <a:solidFill>
            <a:srgbClr val="41719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r>
            <a:rPr kumimoji="1" lang="ja-JP" altLang="ja-JP" sz="1100" b="1">
              <a:solidFill>
                <a:schemeClr val="lt1"/>
              </a:solidFill>
              <a:effectLst/>
              <a:latin typeface="+mn-lt"/>
              <a:ea typeface="+mn-ea"/>
              <a:cs typeface="+mn-cs"/>
            </a:rPr>
            <a:t>「助成金交付申請額」は</a:t>
          </a:r>
          <a:endParaRPr lang="ja-JP" altLang="ja-JP">
            <a:effectLst/>
          </a:endParaRPr>
        </a:p>
        <a:p>
          <a:r>
            <a:rPr kumimoji="1" lang="ja-JP" altLang="ja-JP" sz="1100" b="1">
              <a:solidFill>
                <a:schemeClr val="lt1"/>
              </a:solidFill>
              <a:effectLst/>
              <a:latin typeface="+mn-lt"/>
              <a:ea typeface="+mn-ea"/>
              <a:cs typeface="+mn-cs"/>
            </a:rPr>
            <a:t>販売促進費は上限２００万円</a:t>
          </a:r>
          <a:endParaRPr lang="ja-JP" altLang="ja-JP">
            <a:effectLst/>
          </a:endParaRPr>
        </a:p>
        <a:p>
          <a:r>
            <a:rPr kumimoji="1" lang="ja-JP" altLang="ja-JP" sz="1100" b="1">
              <a:solidFill>
                <a:schemeClr val="lt1"/>
              </a:solidFill>
              <a:effectLst/>
              <a:latin typeface="+mn-lt"/>
              <a:ea typeface="+mn-ea"/>
              <a:cs typeface="+mn-cs"/>
            </a:rPr>
            <a:t>その他経費は上限１００万円</a:t>
          </a:r>
          <a:endParaRPr lang="ja-JP" altLang="ja-JP">
            <a:effectLst/>
          </a:endParaRPr>
        </a:p>
        <a:p>
          <a:r>
            <a:rPr kumimoji="1" lang="ja-JP" altLang="ja-JP" sz="1100" b="1">
              <a:solidFill>
                <a:schemeClr val="lt1"/>
              </a:solidFill>
              <a:effectLst/>
              <a:latin typeface="+mn-lt"/>
              <a:ea typeface="+mn-ea"/>
              <a:cs typeface="+mn-cs"/>
            </a:rPr>
            <a:t>となりますので、ご注意ください。</a:t>
          </a:r>
          <a:endParaRPr lang="ja-JP" altLang="ja-JP">
            <a:effectLst/>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solidFill>
        <a:ln>
          <a:solidFill>
            <a:schemeClr val="accent1"/>
          </a:solidFill>
        </a:ln>
      </a:spPr>
      <a:bodyPr vertOverflow="clip" horzOverflow="clip" lIns="0" tIns="0" rIns="0" bIns="0" rtlCol="0" anchor="ctr" anchorCtr="0"/>
      <a:lstStyle>
        <a:defPPr algn="l">
          <a:defRPr kumimoji="1" sz="1100" b="1"/>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P41"/>
  <sheetViews>
    <sheetView view="pageBreakPreview" zoomScale="220" zoomScaleNormal="100" zoomScaleSheetLayoutView="220" workbookViewId="0">
      <selection activeCell="L14" sqref="L14:N14"/>
    </sheetView>
  </sheetViews>
  <sheetFormatPr baseColWidth="10" defaultColWidth="8.5" defaultRowHeight="18"/>
  <cols>
    <col min="1" max="2" width="2.5" style="28" customWidth="1"/>
    <col min="3" max="6" width="8.5" style="28"/>
    <col min="7" max="7" width="3.5" style="28" customWidth="1"/>
    <col min="8" max="9" width="4.5" style="28" customWidth="1"/>
    <col min="10" max="11" width="3.5" style="28" customWidth="1"/>
    <col min="12" max="14" width="8.5" style="28"/>
    <col min="15" max="15" width="1" style="28" customWidth="1"/>
    <col min="16" max="16384" width="8.5" style="28"/>
  </cols>
  <sheetData>
    <row r="1" spans="3:16">
      <c r="C1" s="240" t="s">
        <v>420</v>
      </c>
      <c r="P1" s="206"/>
    </row>
    <row r="3" spans="3:16">
      <c r="C3" s="28" t="s">
        <v>166</v>
      </c>
    </row>
    <row r="4" spans="3:16">
      <c r="D4" s="28" t="s">
        <v>167</v>
      </c>
    </row>
    <row r="7" spans="3:16" ht="24" customHeight="1">
      <c r="G7" s="298" t="s">
        <v>520</v>
      </c>
      <c r="H7" s="299"/>
      <c r="I7" s="300"/>
      <c r="J7" s="304" t="s">
        <v>623</v>
      </c>
      <c r="K7" s="305"/>
      <c r="L7" s="305"/>
      <c r="M7" s="305"/>
      <c r="N7" s="306"/>
    </row>
    <row r="8" spans="3:16" ht="24" customHeight="1">
      <c r="G8" s="301" t="s">
        <v>521</v>
      </c>
      <c r="H8" s="302"/>
      <c r="I8" s="303"/>
      <c r="J8" s="307" t="s">
        <v>624</v>
      </c>
      <c r="K8" s="308"/>
      <c r="L8" s="308"/>
      <c r="M8" s="308"/>
      <c r="N8" s="309"/>
    </row>
    <row r="9" spans="3:16" ht="18" customHeight="1">
      <c r="G9" s="266" t="s">
        <v>472</v>
      </c>
      <c r="H9" s="267"/>
      <c r="I9" s="268"/>
      <c r="J9" s="272" t="s">
        <v>625</v>
      </c>
      <c r="K9" s="273"/>
      <c r="L9" s="273"/>
      <c r="M9" s="273"/>
      <c r="N9" s="274"/>
    </row>
    <row r="10" spans="3:16">
      <c r="G10" s="269"/>
      <c r="H10" s="270"/>
      <c r="I10" s="271"/>
      <c r="J10" s="275"/>
      <c r="K10" s="276"/>
      <c r="L10" s="276"/>
      <c r="M10" s="276"/>
      <c r="N10" s="277"/>
    </row>
    <row r="11" spans="3:16">
      <c r="G11" s="278" t="s">
        <v>168</v>
      </c>
      <c r="H11" s="279"/>
      <c r="I11" s="279"/>
      <c r="J11" s="272" t="s">
        <v>626</v>
      </c>
      <c r="K11" s="280"/>
      <c r="L11" s="280"/>
      <c r="M11" s="280"/>
      <c r="N11" s="281"/>
    </row>
    <row r="12" spans="3:16">
      <c r="G12" s="278"/>
      <c r="H12" s="279"/>
      <c r="I12" s="279"/>
      <c r="J12" s="282"/>
      <c r="K12" s="283"/>
      <c r="L12" s="283"/>
      <c r="M12" s="283"/>
      <c r="N12" s="284"/>
    </row>
    <row r="13" spans="3:16">
      <c r="G13" s="310" t="s">
        <v>169</v>
      </c>
      <c r="H13" s="311"/>
      <c r="I13" s="312"/>
      <c r="J13" s="316" t="s">
        <v>170</v>
      </c>
      <c r="K13" s="317"/>
      <c r="L13" s="318" t="s">
        <v>627</v>
      </c>
      <c r="M13" s="319"/>
      <c r="N13" s="320"/>
    </row>
    <row r="14" spans="3:16">
      <c r="G14" s="313"/>
      <c r="H14" s="314"/>
      <c r="I14" s="315"/>
      <c r="J14" s="321" t="s">
        <v>171</v>
      </c>
      <c r="K14" s="322"/>
      <c r="L14" s="323" t="s">
        <v>628</v>
      </c>
      <c r="M14" s="324"/>
      <c r="N14" s="325"/>
    </row>
    <row r="15" spans="3:16">
      <c r="G15" s="285"/>
      <c r="H15" s="286"/>
      <c r="I15" s="286"/>
      <c r="J15" s="286"/>
      <c r="K15" s="286"/>
      <c r="L15" s="286"/>
      <c r="M15" s="286"/>
      <c r="N15" s="286"/>
    </row>
    <row r="17" spans="1:15" ht="18" customHeight="1">
      <c r="A17" s="295"/>
      <c r="B17" s="295"/>
      <c r="C17" s="295"/>
      <c r="D17" s="295"/>
      <c r="E17" s="295"/>
      <c r="F17" s="295"/>
      <c r="G17" s="295"/>
      <c r="H17" s="295"/>
      <c r="I17" s="295"/>
      <c r="J17" s="295"/>
      <c r="K17" s="295"/>
      <c r="L17" s="295"/>
      <c r="M17" s="295"/>
      <c r="N17" s="295"/>
      <c r="O17" s="295"/>
    </row>
    <row r="18" spans="1:15" ht="36" customHeight="1">
      <c r="A18" s="287" t="s">
        <v>563</v>
      </c>
      <c r="B18" s="288"/>
      <c r="C18" s="288"/>
      <c r="D18" s="288"/>
      <c r="E18" s="288"/>
      <c r="F18" s="288"/>
      <c r="G18" s="288"/>
      <c r="H18" s="288"/>
      <c r="I18" s="288"/>
      <c r="J18" s="288"/>
      <c r="K18" s="288"/>
      <c r="L18" s="288"/>
      <c r="M18" s="288"/>
      <c r="N18" s="288"/>
      <c r="O18" s="288"/>
    </row>
    <row r="21" spans="1:15">
      <c r="B21" s="28" t="s">
        <v>172</v>
      </c>
    </row>
    <row r="24" spans="1:15">
      <c r="A24" s="279" t="s">
        <v>173</v>
      </c>
      <c r="B24" s="279"/>
      <c r="C24" s="279"/>
      <c r="D24" s="279"/>
      <c r="E24" s="279"/>
      <c r="F24" s="279"/>
      <c r="G24" s="279"/>
      <c r="H24" s="279"/>
      <c r="I24" s="279"/>
      <c r="J24" s="279"/>
      <c r="K24" s="279"/>
      <c r="L24" s="279"/>
      <c r="M24" s="279"/>
      <c r="N24" s="279"/>
      <c r="O24" s="279"/>
    </row>
    <row r="26" spans="1:15">
      <c r="B26" s="29" t="s">
        <v>199</v>
      </c>
    </row>
    <row r="28" spans="1:15" ht="18" customHeight="1">
      <c r="C28" s="296" t="s">
        <v>425</v>
      </c>
      <c r="D28" s="297"/>
      <c r="E28" s="297"/>
      <c r="F28" s="297"/>
      <c r="G28" s="297"/>
      <c r="H28" s="297"/>
      <c r="I28" s="297"/>
      <c r="J28" s="297"/>
      <c r="K28" s="297"/>
      <c r="L28" s="297"/>
      <c r="M28" s="297"/>
    </row>
    <row r="29" spans="1:15" ht="18" customHeight="1">
      <c r="C29" s="297"/>
      <c r="D29" s="297"/>
      <c r="E29" s="297"/>
      <c r="F29" s="297"/>
      <c r="G29" s="297"/>
      <c r="H29" s="297"/>
      <c r="I29" s="297"/>
      <c r="J29" s="297"/>
      <c r="K29" s="297"/>
      <c r="L29" s="297"/>
      <c r="M29" s="297"/>
    </row>
    <row r="32" spans="1:15">
      <c r="B32" s="29" t="s">
        <v>200</v>
      </c>
    </row>
    <row r="34" spans="2:14">
      <c r="C34" s="289">
        <f>IF(資金!AJ19=0,"",資金!AJ19)</f>
        <v>7011000</v>
      </c>
      <c r="D34" s="290"/>
      <c r="E34" s="291"/>
    </row>
    <row r="35" spans="2:14">
      <c r="C35" s="292"/>
      <c r="D35" s="293"/>
      <c r="E35" s="294"/>
      <c r="F35" s="58" t="s">
        <v>213</v>
      </c>
    </row>
    <row r="38" spans="2:14">
      <c r="B38" s="29" t="s">
        <v>201</v>
      </c>
    </row>
    <row r="40" spans="2:14" ht="36" customHeight="1">
      <c r="C40" s="263"/>
      <c r="D40" s="264"/>
      <c r="E40" s="264"/>
      <c r="F40" s="264"/>
      <c r="G40" s="264"/>
      <c r="H40" s="264"/>
      <c r="I40" s="264"/>
      <c r="J40" s="264"/>
      <c r="K40" s="265"/>
    </row>
    <row r="41" spans="2:14">
      <c r="N41" s="261" t="s">
        <v>622</v>
      </c>
    </row>
  </sheetData>
  <sheetProtection algorithmName="SHA-512" hashValue="j7wp6DJQ16g3IdWj8zP+v6VG3xjtCa3gYJ8a8nOxR3dlEV6sxuZtn58MKPIjLKHY/HGWBWogUKvIDBocpQaZnA==" saltValue="65EzytZfT+/rzCq9jCTexg==" spinCount="100000" sheet="1" objects="1" scenarios="1"/>
  <mergeCells count="20">
    <mergeCell ref="G7:I7"/>
    <mergeCell ref="G8:I8"/>
    <mergeCell ref="J7:N7"/>
    <mergeCell ref="J8:N8"/>
    <mergeCell ref="G13:I14"/>
    <mergeCell ref="J13:K13"/>
    <mergeCell ref="L13:N13"/>
    <mergeCell ref="J14:K14"/>
    <mergeCell ref="L14:N14"/>
    <mergeCell ref="C40:K40"/>
    <mergeCell ref="G9:I10"/>
    <mergeCell ref="J9:N10"/>
    <mergeCell ref="G11:I12"/>
    <mergeCell ref="J11:N12"/>
    <mergeCell ref="G15:N15"/>
    <mergeCell ref="A18:O18"/>
    <mergeCell ref="A24:O24"/>
    <mergeCell ref="C34:E35"/>
    <mergeCell ref="A17:O17"/>
    <mergeCell ref="C28:M29"/>
  </mergeCells>
  <phoneticPr fontId="40"/>
  <dataValidations count="2">
    <dataValidation type="list" allowBlank="1" showInputMessage="1" showErrorMessage="1" sqref="J7" xr:uid="{00000000-0002-0000-0000-000000000000}">
      <formula1>"(選択),個人事業主,法人"</formula1>
    </dataValidation>
    <dataValidation type="list" allowBlank="1" showInputMessage="1" showErrorMessage="1" sqref="J8:N8" xr:uid="{00000000-0002-0000-0000-000001000000}">
      <formula1>"(選択),A: 中小企業者(賃上げなし),B: 賃金引上げ計画を掲げる中小企業者,C: 賃金引上げ計画を掲げる小規模企業者"</formula1>
    </dataValidation>
  </dataValidations>
  <printOptions horizontalCentered="1"/>
  <pageMargins left="0.70866141732283472" right="0.70866141732283472" top="0.74803149606299213" bottom="0.74803149606299213" header="0.31496062992125984" footer="0.31496062992125984"/>
  <pageSetup paperSize="9"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79998168889431442"/>
  </sheetPr>
  <dimension ref="A2:I29"/>
  <sheetViews>
    <sheetView view="pageBreakPreview" zoomScale="234" zoomScaleNormal="120" zoomScaleSheetLayoutView="234" workbookViewId="0">
      <selection activeCell="C17" sqref="C17:H17"/>
    </sheetView>
  </sheetViews>
  <sheetFormatPr baseColWidth="10" defaultColWidth="8.5" defaultRowHeight="18"/>
  <cols>
    <col min="1" max="1" width="13.33203125" style="1" customWidth="1"/>
    <col min="2" max="5" width="8.5" style="1"/>
    <col min="6" max="7" width="12.5" style="1" customWidth="1"/>
    <col min="8" max="8" width="31.5" style="1" customWidth="1"/>
    <col min="9" max="16384" width="8.5" style="1"/>
  </cols>
  <sheetData>
    <row r="2" spans="1:9" ht="31">
      <c r="A2" s="326" t="s">
        <v>176</v>
      </c>
      <c r="B2" s="326"/>
      <c r="C2" s="326"/>
      <c r="D2" s="326"/>
      <c r="E2" s="326"/>
      <c r="F2" s="326"/>
      <c r="G2" s="326"/>
      <c r="H2" s="326"/>
    </row>
    <row r="4" spans="1:9" ht="20">
      <c r="A4" s="2" t="s">
        <v>0</v>
      </c>
    </row>
    <row r="5" spans="1:9" ht="40.5" customHeight="1">
      <c r="A5" s="351" t="s">
        <v>1</v>
      </c>
      <c r="B5" s="352"/>
      <c r="C5" s="352"/>
      <c r="D5" s="352"/>
      <c r="E5" s="352"/>
      <c r="F5" s="372" t="str">
        <f>IF(OR(表紙!J7="",表紙!J7="(選択)"),"",表紙!J7)</f>
        <v>法人</v>
      </c>
      <c r="G5" s="373"/>
      <c r="I5" s="15"/>
    </row>
    <row r="7" spans="1:9">
      <c r="A7" s="193" t="s">
        <v>2</v>
      </c>
    </row>
    <row r="8" spans="1:9" ht="22" customHeight="1">
      <c r="A8" s="18" t="s">
        <v>3</v>
      </c>
      <c r="B8" s="366"/>
      <c r="C8" s="367"/>
      <c r="D8" s="367"/>
      <c r="E8" s="368"/>
      <c r="F8" s="339" t="s">
        <v>24</v>
      </c>
      <c r="G8" s="340"/>
      <c r="H8" s="207" t="str">
        <f>IF(NOT(表紙!J7="個人事業主"),"",IF(表紙!J11="","",表紙!J11))</f>
        <v/>
      </c>
      <c r="I8" s="15"/>
    </row>
    <row r="9" spans="1:9" ht="22" customHeight="1">
      <c r="A9" s="364" t="s">
        <v>4</v>
      </c>
      <c r="B9" s="345" t="str">
        <f>IF(NOT(表紙!J7="個人事業主"),"",IF(表紙!L14="","",表紙!L14))</f>
        <v/>
      </c>
      <c r="C9" s="346"/>
      <c r="D9" s="346"/>
      <c r="E9" s="347"/>
      <c r="F9" s="343" t="s">
        <v>14</v>
      </c>
      <c r="G9" s="344"/>
      <c r="H9" s="257" t="s">
        <v>450</v>
      </c>
    </row>
    <row r="10" spans="1:9" ht="22" customHeight="1">
      <c r="A10" s="365"/>
      <c r="B10" s="348"/>
      <c r="C10" s="349"/>
      <c r="D10" s="349"/>
      <c r="E10" s="350"/>
      <c r="F10" s="341" t="s">
        <v>5</v>
      </c>
      <c r="G10" s="342"/>
      <c r="H10" s="258"/>
    </row>
    <row r="11" spans="1:9" ht="22" customHeight="1">
      <c r="A11" s="19" t="s">
        <v>6</v>
      </c>
      <c r="B11" s="336" t="s">
        <v>7</v>
      </c>
      <c r="C11" s="337"/>
      <c r="D11" s="337"/>
      <c r="E11" s="338"/>
      <c r="F11" s="339" t="s">
        <v>8</v>
      </c>
      <c r="G11" s="340"/>
      <c r="H11" s="259"/>
    </row>
    <row r="12" spans="1:9" ht="41.5" customHeight="1">
      <c r="A12" s="208" t="s">
        <v>473</v>
      </c>
      <c r="B12" s="333" t="str">
        <f>IF(NOT(表紙!J7="個人事業主"),"",IF(表紙!J9="","",表紙!J9))</f>
        <v/>
      </c>
      <c r="C12" s="334"/>
      <c r="D12" s="334"/>
      <c r="E12" s="334"/>
      <c r="F12" s="334"/>
      <c r="G12" s="334"/>
      <c r="H12" s="335"/>
    </row>
    <row r="13" spans="1:9">
      <c r="B13" s="137"/>
      <c r="C13" s="137"/>
      <c r="D13" s="137"/>
      <c r="E13" s="137"/>
      <c r="F13" s="137"/>
      <c r="G13" s="137"/>
      <c r="H13" s="137"/>
    </row>
    <row r="14" spans="1:9">
      <c r="A14" s="193" t="s">
        <v>10</v>
      </c>
      <c r="B14" s="137"/>
      <c r="C14" s="137"/>
      <c r="D14" s="137"/>
      <c r="E14" s="137"/>
      <c r="F14" s="137"/>
      <c r="G14" s="137"/>
      <c r="H14" s="137"/>
    </row>
    <row r="15" spans="1:9" ht="22" customHeight="1">
      <c r="A15" s="18" t="s">
        <v>3</v>
      </c>
      <c r="B15" s="329" t="s">
        <v>648</v>
      </c>
      <c r="C15" s="330"/>
      <c r="D15" s="330"/>
      <c r="E15" s="330"/>
      <c r="F15" s="330"/>
      <c r="G15" s="330"/>
      <c r="H15" s="331"/>
    </row>
    <row r="16" spans="1:9" ht="47.25" customHeight="1">
      <c r="A16" s="20" t="s">
        <v>11</v>
      </c>
      <c r="B16" s="333" t="str">
        <f>IF(NOT(表紙!J7="法人"),"",IF(表紙!J11="","",表紙!J11))</f>
        <v>株式会社プルスウルトラ</v>
      </c>
      <c r="C16" s="334"/>
      <c r="D16" s="334"/>
      <c r="E16" s="334"/>
      <c r="F16" s="334"/>
      <c r="G16" s="334"/>
      <c r="H16" s="335"/>
    </row>
    <row r="17" spans="1:9" ht="22.5" customHeight="1">
      <c r="A17" s="380" t="s">
        <v>12</v>
      </c>
      <c r="B17" s="138" t="s">
        <v>6</v>
      </c>
      <c r="C17" s="374" t="s">
        <v>649</v>
      </c>
      <c r="D17" s="374"/>
      <c r="E17" s="374"/>
      <c r="F17" s="374"/>
      <c r="G17" s="374"/>
      <c r="H17" s="375"/>
    </row>
    <row r="18" spans="1:9" ht="45.75" customHeight="1">
      <c r="A18" s="371"/>
      <c r="B18" s="139" t="s">
        <v>9</v>
      </c>
      <c r="C18" s="333" t="str">
        <f>IF(NOT(表紙!J7="法人"),"",IF(表紙!J9="","",表紙!J9))</f>
        <v>東京都品川区荏原4-3-18 丸福ビル2階</v>
      </c>
      <c r="D18" s="334"/>
      <c r="E18" s="334"/>
      <c r="F18" s="334"/>
      <c r="G18" s="334"/>
      <c r="H18" s="335"/>
    </row>
    <row r="19" spans="1:9" ht="22" customHeight="1">
      <c r="A19" s="380" t="s">
        <v>13</v>
      </c>
      <c r="B19" s="140" t="s">
        <v>16</v>
      </c>
      <c r="C19" s="333" t="str">
        <f>IF(NOT(表紙!J7="法人"),"",IF(表紙!L13="","",表紙!L13))</f>
        <v>代表取締役</v>
      </c>
      <c r="D19" s="334"/>
      <c r="E19" s="335"/>
      <c r="F19" s="141" t="s">
        <v>14</v>
      </c>
      <c r="G19" s="376">
        <v>29865</v>
      </c>
      <c r="H19" s="377"/>
    </row>
    <row r="20" spans="1:9" ht="22" customHeight="1">
      <c r="A20" s="370"/>
      <c r="B20" s="140" t="s">
        <v>3</v>
      </c>
      <c r="C20" s="332" t="s">
        <v>631</v>
      </c>
      <c r="D20" s="327"/>
      <c r="E20" s="328"/>
      <c r="F20" s="138" t="s">
        <v>5</v>
      </c>
      <c r="G20" s="327" t="s">
        <v>629</v>
      </c>
      <c r="H20" s="328"/>
    </row>
    <row r="21" spans="1:9" ht="22" customHeight="1">
      <c r="A21" s="371"/>
      <c r="B21" s="139" t="s">
        <v>15</v>
      </c>
      <c r="C21" s="348" t="str">
        <f>IF(NOT(表紙!J7="法人"),"",IF(表紙!L14="","",表紙!L14))</f>
        <v>木下大輔</v>
      </c>
      <c r="D21" s="349"/>
      <c r="E21" s="350"/>
      <c r="F21" s="142" t="s">
        <v>8</v>
      </c>
      <c r="G21" s="362" t="s">
        <v>630</v>
      </c>
      <c r="H21" s="363"/>
    </row>
    <row r="22" spans="1:9" ht="22" customHeight="1">
      <c r="A22" s="369" t="s">
        <v>451</v>
      </c>
      <c r="B22" s="143" t="s">
        <v>3</v>
      </c>
      <c r="C22" s="329"/>
      <c r="D22" s="330"/>
      <c r="E22" s="331"/>
      <c r="F22" s="141" t="s">
        <v>14</v>
      </c>
      <c r="G22" s="376" t="s">
        <v>450</v>
      </c>
      <c r="H22" s="377"/>
    </row>
    <row r="23" spans="1:9" ht="22" customHeight="1">
      <c r="A23" s="370"/>
      <c r="B23" s="378" t="s">
        <v>15</v>
      </c>
      <c r="C23" s="329"/>
      <c r="D23" s="330"/>
      <c r="E23" s="331"/>
      <c r="F23" s="141" t="s">
        <v>23</v>
      </c>
      <c r="G23" s="330"/>
      <c r="H23" s="331"/>
      <c r="I23" s="15"/>
    </row>
    <row r="24" spans="1:9" ht="22" customHeight="1">
      <c r="A24" s="371"/>
      <c r="B24" s="379"/>
      <c r="C24" s="361"/>
      <c r="D24" s="362"/>
      <c r="E24" s="363"/>
      <c r="F24" s="138" t="s">
        <v>17</v>
      </c>
      <c r="G24" s="327"/>
      <c r="H24" s="328"/>
    </row>
    <row r="25" spans="1:9" ht="22" customHeight="1">
      <c r="A25" s="353" t="s">
        <v>22</v>
      </c>
      <c r="B25" s="140" t="s">
        <v>3</v>
      </c>
      <c r="C25" s="332"/>
      <c r="D25" s="327"/>
      <c r="E25" s="328"/>
      <c r="F25" s="138" t="s">
        <v>23</v>
      </c>
      <c r="G25" s="327"/>
      <c r="H25" s="328"/>
      <c r="I25" s="15"/>
    </row>
    <row r="26" spans="1:9" ht="22" customHeight="1">
      <c r="A26" s="354"/>
      <c r="B26" s="356" t="s">
        <v>15</v>
      </c>
      <c r="C26" s="358"/>
      <c r="D26" s="359"/>
      <c r="E26" s="360"/>
      <c r="F26" s="138" t="s">
        <v>18</v>
      </c>
      <c r="G26" s="327"/>
      <c r="H26" s="328"/>
    </row>
    <row r="27" spans="1:9" ht="22" customHeight="1">
      <c r="A27" s="355"/>
      <c r="B27" s="357"/>
      <c r="C27" s="361"/>
      <c r="D27" s="362"/>
      <c r="E27" s="363"/>
      <c r="F27" s="142" t="s">
        <v>19</v>
      </c>
      <c r="G27" s="362"/>
      <c r="H27" s="363"/>
    </row>
    <row r="28" spans="1:9" ht="22" customHeight="1">
      <c r="A28" s="353" t="s">
        <v>20</v>
      </c>
      <c r="B28" s="140" t="s">
        <v>6</v>
      </c>
      <c r="C28" s="336" t="s">
        <v>21</v>
      </c>
      <c r="D28" s="337"/>
      <c r="E28" s="337"/>
      <c r="F28" s="337"/>
      <c r="G28" s="337"/>
      <c r="H28" s="338"/>
    </row>
    <row r="29" spans="1:9" ht="46" customHeight="1">
      <c r="A29" s="355"/>
      <c r="B29" s="139" t="s">
        <v>9</v>
      </c>
      <c r="C29" s="361"/>
      <c r="D29" s="362"/>
      <c r="E29" s="362"/>
      <c r="F29" s="362"/>
      <c r="G29" s="362"/>
      <c r="H29" s="363"/>
    </row>
  </sheetData>
  <sheetProtection algorithmName="SHA-512" hashValue="xtir/j3BHl7YaV7+jqpQHwJSiOSpQOU5eA3M/HdsVOK7YUPMU4ek4rG6fRrgzULk23HZ52q49kbJx5gNCUrzgg==" saltValue="xoOUlX+Usx6VST2D0Uej/A==" spinCount="100000" sheet="1" objects="1" scenarios="1"/>
  <mergeCells count="41">
    <mergeCell ref="F5:G5"/>
    <mergeCell ref="A28:A29"/>
    <mergeCell ref="G27:H27"/>
    <mergeCell ref="C17:H17"/>
    <mergeCell ref="G19:H19"/>
    <mergeCell ref="G22:H22"/>
    <mergeCell ref="B23:B24"/>
    <mergeCell ref="C23:E24"/>
    <mergeCell ref="C18:H18"/>
    <mergeCell ref="C20:E20"/>
    <mergeCell ref="G24:H24"/>
    <mergeCell ref="C29:H29"/>
    <mergeCell ref="C28:H28"/>
    <mergeCell ref="G26:H26"/>
    <mergeCell ref="A17:A18"/>
    <mergeCell ref="A19:A21"/>
    <mergeCell ref="A9:A10"/>
    <mergeCell ref="F8:G8"/>
    <mergeCell ref="B8:E8"/>
    <mergeCell ref="A22:A24"/>
    <mergeCell ref="C19:E19"/>
    <mergeCell ref="C21:E21"/>
    <mergeCell ref="G20:H20"/>
    <mergeCell ref="G21:H21"/>
    <mergeCell ref="G23:H23"/>
    <mergeCell ref="A2:H2"/>
    <mergeCell ref="G25:H25"/>
    <mergeCell ref="C22:E22"/>
    <mergeCell ref="C25:E25"/>
    <mergeCell ref="B12:H12"/>
    <mergeCell ref="B15:H15"/>
    <mergeCell ref="B16:H16"/>
    <mergeCell ref="B11:E11"/>
    <mergeCell ref="F11:G11"/>
    <mergeCell ref="F10:G10"/>
    <mergeCell ref="F9:G9"/>
    <mergeCell ref="B9:E10"/>
    <mergeCell ref="A5:E5"/>
    <mergeCell ref="A25:A27"/>
    <mergeCell ref="B26:B27"/>
    <mergeCell ref="C26:E27"/>
  </mergeCells>
  <phoneticPr fontId="41"/>
  <conditionalFormatting sqref="A8:H12">
    <cfRule type="expression" dxfId="7" priority="1">
      <formula>$F$5="法人"</formula>
    </cfRule>
  </conditionalFormatting>
  <conditionalFormatting sqref="A15:H29">
    <cfRule type="expression" dxfId="6" priority="2">
      <formula>$F$5="個人事業主"</formula>
    </cfRule>
  </conditionalFormatting>
  <printOptions horizontalCentered="1"/>
  <pageMargins left="0.70866141732283472" right="0.70866141732283472" top="0.74803149606299213" bottom="0.74803149606299213" header="0.31496062992125984" footer="0.31496062992125984"/>
  <pageSetup paperSize="9" scale="7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79998168889431442"/>
  </sheetPr>
  <dimension ref="A1:AA65"/>
  <sheetViews>
    <sheetView view="pageBreakPreview" zoomScale="166" zoomScaleNormal="100" zoomScaleSheetLayoutView="166" workbookViewId="0">
      <selection activeCell="K27" sqref="K27:L27"/>
    </sheetView>
  </sheetViews>
  <sheetFormatPr baseColWidth="10" defaultColWidth="8.5" defaultRowHeight="18"/>
  <cols>
    <col min="1" max="1" width="6.33203125" style="3" customWidth="1"/>
    <col min="2" max="7" width="8.5" style="3"/>
    <col min="8" max="8" width="12.5" style="3" customWidth="1"/>
    <col min="9" max="9" width="15.33203125" style="3" customWidth="1"/>
    <col min="10" max="10" width="13" style="3" customWidth="1"/>
    <col min="11" max="11" width="6.5" style="3" customWidth="1"/>
    <col min="12" max="12" width="4.33203125" style="3" customWidth="1"/>
    <col min="13" max="13" width="4.33203125" style="3" hidden="1" customWidth="1"/>
    <col min="14" max="17" width="8.5" style="3" hidden="1" customWidth="1"/>
    <col min="18" max="20" width="8.5" style="3" customWidth="1"/>
    <col min="21" max="16384" width="8.5" style="3"/>
  </cols>
  <sheetData>
    <row r="1" spans="1:27" ht="30" customHeight="1">
      <c r="A1" s="392" t="s">
        <v>25</v>
      </c>
      <c r="B1" s="393"/>
      <c r="C1" s="144" t="s">
        <v>26</v>
      </c>
      <c r="D1" s="396">
        <v>42648</v>
      </c>
      <c r="E1" s="397"/>
      <c r="F1" s="397"/>
      <c r="G1" s="398"/>
      <c r="H1" s="381" t="s">
        <v>27</v>
      </c>
      <c r="I1" s="404">
        <v>2000000</v>
      </c>
      <c r="J1" s="405"/>
      <c r="K1" s="406"/>
      <c r="L1" s="410" t="s">
        <v>38</v>
      </c>
      <c r="M1" s="154"/>
    </row>
    <row r="2" spans="1:27" ht="30" customHeight="1">
      <c r="A2" s="394"/>
      <c r="B2" s="395"/>
      <c r="C2" s="145" t="s">
        <v>28</v>
      </c>
      <c r="D2" s="396">
        <v>42648</v>
      </c>
      <c r="E2" s="397"/>
      <c r="F2" s="397"/>
      <c r="G2" s="398"/>
      <c r="H2" s="382"/>
      <c r="I2" s="407"/>
      <c r="J2" s="408"/>
      <c r="K2" s="409"/>
      <c r="L2" s="411"/>
      <c r="M2" s="154"/>
    </row>
    <row r="3" spans="1:27" ht="27" customHeight="1">
      <c r="A3" s="383" t="s">
        <v>29</v>
      </c>
      <c r="B3" s="384"/>
      <c r="C3" s="386">
        <v>2</v>
      </c>
      <c r="D3" s="390"/>
      <c r="E3" s="391"/>
      <c r="F3" s="388" t="s">
        <v>35</v>
      </c>
      <c r="G3" s="389"/>
      <c r="H3" s="146" t="s">
        <v>30</v>
      </c>
      <c r="I3" s="183">
        <v>0</v>
      </c>
      <c r="J3" s="147" t="s">
        <v>36</v>
      </c>
      <c r="K3" s="184"/>
      <c r="L3" s="148" t="s">
        <v>37</v>
      </c>
      <c r="M3" s="154"/>
    </row>
    <row r="4" spans="1:27" ht="105" customHeight="1">
      <c r="A4" s="412" t="s">
        <v>427</v>
      </c>
      <c r="B4" s="413"/>
      <c r="C4" s="144" t="s">
        <v>40</v>
      </c>
      <c r="D4" s="386" t="s">
        <v>44</v>
      </c>
      <c r="E4" s="387"/>
      <c r="F4" s="145" t="s">
        <v>41</v>
      </c>
      <c r="G4" s="399" t="s">
        <v>61</v>
      </c>
      <c r="H4" s="400"/>
      <c r="I4" s="149" t="s">
        <v>39</v>
      </c>
      <c r="J4" s="425">
        <v>18640000</v>
      </c>
      <c r="K4" s="426"/>
      <c r="L4" s="150" t="s">
        <v>38</v>
      </c>
      <c r="M4" s="154" t="s">
        <v>452</v>
      </c>
      <c r="N4" s="3" t="s">
        <v>42</v>
      </c>
      <c r="O4" s="3" t="s">
        <v>43</v>
      </c>
      <c r="P4" s="3" t="s">
        <v>44</v>
      </c>
      <c r="Q4" s="3" t="s">
        <v>45</v>
      </c>
      <c r="S4" s="14"/>
      <c r="T4" s="52"/>
      <c r="U4" s="52"/>
      <c r="V4" s="52"/>
      <c r="W4" s="52"/>
      <c r="X4" s="52"/>
      <c r="Y4" s="52"/>
      <c r="Z4" s="52"/>
      <c r="AA4" s="52"/>
    </row>
    <row r="5" spans="1:27" ht="150.75" customHeight="1">
      <c r="A5" s="412" t="s">
        <v>31</v>
      </c>
      <c r="B5" s="414"/>
      <c r="C5" s="401" t="s">
        <v>651</v>
      </c>
      <c r="D5" s="402"/>
      <c r="E5" s="402"/>
      <c r="F5" s="402"/>
      <c r="G5" s="402"/>
      <c r="H5" s="402"/>
      <c r="I5" s="402"/>
      <c r="J5" s="402"/>
      <c r="K5" s="402"/>
      <c r="L5" s="403"/>
      <c r="M5" s="194"/>
      <c r="N5" s="198" t="s">
        <v>452</v>
      </c>
      <c r="O5" s="198" t="s">
        <v>452</v>
      </c>
      <c r="P5" s="198" t="s">
        <v>452</v>
      </c>
      <c r="Q5" s="198" t="s">
        <v>452</v>
      </c>
    </row>
    <row r="6" spans="1:27" ht="22" customHeight="1">
      <c r="A6" s="383" t="s">
        <v>32</v>
      </c>
      <c r="B6" s="384"/>
      <c r="C6" s="384"/>
      <c r="D6" s="384"/>
      <c r="E6" s="384"/>
      <c r="F6" s="384"/>
      <c r="G6" s="384"/>
      <c r="H6" s="385"/>
      <c r="I6" s="428" t="s">
        <v>447</v>
      </c>
      <c r="J6" s="428"/>
      <c r="K6" s="428"/>
      <c r="L6" s="428"/>
      <c r="M6" s="146"/>
      <c r="N6" s="3" t="s">
        <v>46</v>
      </c>
      <c r="O6" s="3" t="s">
        <v>47</v>
      </c>
      <c r="P6" s="247" t="s">
        <v>48</v>
      </c>
      <c r="Q6" s="249" t="s">
        <v>78</v>
      </c>
      <c r="S6" s="14"/>
    </row>
    <row r="7" spans="1:27" ht="22" customHeight="1">
      <c r="A7" s="151">
        <v>1</v>
      </c>
      <c r="B7" s="386" t="s">
        <v>632</v>
      </c>
      <c r="C7" s="390"/>
      <c r="D7" s="390"/>
      <c r="E7" s="390"/>
      <c r="F7" s="390"/>
      <c r="G7" s="390"/>
      <c r="H7" s="387"/>
      <c r="I7" s="425">
        <v>2930000</v>
      </c>
      <c r="J7" s="427"/>
      <c r="K7" s="426"/>
      <c r="L7" s="185" t="s">
        <v>448</v>
      </c>
      <c r="M7" s="195"/>
      <c r="N7" s="3" t="s">
        <v>50</v>
      </c>
      <c r="O7" s="3" t="s">
        <v>51</v>
      </c>
      <c r="P7" s="248" t="s">
        <v>603</v>
      </c>
      <c r="Q7" s="249" t="s">
        <v>79</v>
      </c>
    </row>
    <row r="8" spans="1:27" ht="22" customHeight="1">
      <c r="A8" s="151">
        <v>2</v>
      </c>
      <c r="B8" s="386" t="s">
        <v>633</v>
      </c>
      <c r="C8" s="390"/>
      <c r="D8" s="390"/>
      <c r="E8" s="390"/>
      <c r="F8" s="390"/>
      <c r="G8" s="390"/>
      <c r="H8" s="387"/>
      <c r="I8" s="425">
        <v>2650000</v>
      </c>
      <c r="J8" s="427"/>
      <c r="K8" s="426"/>
      <c r="L8" s="185" t="s">
        <v>448</v>
      </c>
      <c r="M8" s="195"/>
      <c r="N8" s="3" t="s">
        <v>583</v>
      </c>
      <c r="O8" s="3" t="s">
        <v>53</v>
      </c>
      <c r="P8" s="248" t="s">
        <v>604</v>
      </c>
      <c r="Q8" s="247" t="s">
        <v>49</v>
      </c>
    </row>
    <row r="9" spans="1:27" ht="22" customHeight="1">
      <c r="A9" s="151">
        <v>3</v>
      </c>
      <c r="B9" s="386" t="s">
        <v>634</v>
      </c>
      <c r="C9" s="390"/>
      <c r="D9" s="390"/>
      <c r="E9" s="390"/>
      <c r="F9" s="390"/>
      <c r="G9" s="390"/>
      <c r="H9" s="387"/>
      <c r="I9" s="425">
        <v>2350000</v>
      </c>
      <c r="J9" s="427"/>
      <c r="K9" s="426"/>
      <c r="L9" s="185" t="s">
        <v>448</v>
      </c>
      <c r="M9" s="195"/>
      <c r="N9" s="3" t="s">
        <v>55</v>
      </c>
      <c r="O9" s="3" t="s">
        <v>594</v>
      </c>
      <c r="P9" s="247" t="s">
        <v>91</v>
      </c>
      <c r="Q9" s="247" t="s">
        <v>52</v>
      </c>
    </row>
    <row r="10" spans="1:27" ht="22" customHeight="1">
      <c r="A10" s="421" t="s">
        <v>33</v>
      </c>
      <c r="B10" s="422"/>
      <c r="C10" s="422"/>
      <c r="D10" s="422"/>
      <c r="E10" s="422"/>
      <c r="F10" s="422"/>
      <c r="G10" s="422"/>
      <c r="H10" s="423"/>
      <c r="I10" s="425">
        <v>10710000</v>
      </c>
      <c r="J10" s="427"/>
      <c r="K10" s="426"/>
      <c r="L10" s="185" t="s">
        <v>448</v>
      </c>
      <c r="M10" s="195"/>
      <c r="N10" s="3" t="s">
        <v>584</v>
      </c>
      <c r="O10" s="3" t="s">
        <v>57</v>
      </c>
      <c r="P10" s="248" t="s">
        <v>605</v>
      </c>
      <c r="Q10" s="247" t="s">
        <v>54</v>
      </c>
    </row>
    <row r="11" spans="1:27" ht="22" customHeight="1">
      <c r="A11" s="424" t="s">
        <v>34</v>
      </c>
      <c r="B11" s="388"/>
      <c r="C11" s="388"/>
      <c r="D11" s="388"/>
      <c r="E11" s="388"/>
      <c r="F11" s="388"/>
      <c r="G11" s="388"/>
      <c r="H11" s="389"/>
      <c r="I11" s="417">
        <f>SUM(I7:K10)</f>
        <v>18640000</v>
      </c>
      <c r="J11" s="418"/>
      <c r="K11" s="419"/>
      <c r="L11" s="185" t="s">
        <v>448</v>
      </c>
      <c r="M11" s="195"/>
      <c r="N11" s="3" t="s">
        <v>585</v>
      </c>
      <c r="O11" s="3" t="s">
        <v>595</v>
      </c>
      <c r="P11" s="247" t="s">
        <v>58</v>
      </c>
      <c r="Q11" s="247" t="s">
        <v>56</v>
      </c>
      <c r="S11" s="17"/>
    </row>
    <row r="12" spans="1:27">
      <c r="A12" s="152"/>
      <c r="B12" s="152"/>
      <c r="C12" s="152"/>
      <c r="D12" s="152"/>
      <c r="E12" s="152"/>
      <c r="F12" s="152"/>
      <c r="G12" s="152"/>
      <c r="H12" s="152"/>
      <c r="I12" s="152"/>
      <c r="J12" s="152"/>
      <c r="K12" s="152"/>
      <c r="L12" s="152"/>
      <c r="M12" s="154"/>
      <c r="N12" s="3" t="s">
        <v>586</v>
      </c>
      <c r="P12" s="247" t="s">
        <v>596</v>
      </c>
      <c r="Q12" s="247" t="s">
        <v>59</v>
      </c>
    </row>
    <row r="13" spans="1:27" ht="20">
      <c r="A13" s="153" t="s">
        <v>177</v>
      </c>
      <c r="B13" s="154"/>
      <c r="C13" s="154"/>
      <c r="D13" s="154"/>
      <c r="E13" s="154"/>
      <c r="F13" s="154"/>
      <c r="G13" s="154"/>
      <c r="H13" s="154"/>
      <c r="I13" s="154"/>
      <c r="J13" s="154"/>
      <c r="K13" s="154"/>
      <c r="L13" s="154"/>
      <c r="M13" s="154"/>
      <c r="N13" s="3" t="s">
        <v>62</v>
      </c>
      <c r="P13" s="247" t="s">
        <v>61</v>
      </c>
      <c r="Q13" s="247" t="s">
        <v>601</v>
      </c>
    </row>
    <row r="14" spans="1:27" ht="38.5" customHeight="1">
      <c r="A14" s="416" t="s">
        <v>125</v>
      </c>
      <c r="B14" s="416"/>
      <c r="C14" s="416"/>
      <c r="D14" s="416"/>
      <c r="E14" s="416"/>
      <c r="F14" s="416"/>
      <c r="G14" s="416"/>
      <c r="H14" s="416"/>
      <c r="I14" s="416"/>
      <c r="J14" s="416"/>
      <c r="K14" s="416"/>
      <c r="L14" s="416"/>
      <c r="M14" s="179"/>
      <c r="N14" s="3" t="s">
        <v>64</v>
      </c>
      <c r="P14" s="247" t="s">
        <v>63</v>
      </c>
      <c r="Q14" s="247" t="s">
        <v>60</v>
      </c>
      <c r="X14" s="12"/>
    </row>
    <row r="15" spans="1:27" ht="27" customHeight="1">
      <c r="A15" s="383" t="s">
        <v>117</v>
      </c>
      <c r="B15" s="384"/>
      <c r="C15" s="386" t="s">
        <v>635</v>
      </c>
      <c r="D15" s="390"/>
      <c r="E15" s="390"/>
      <c r="F15" s="387"/>
      <c r="G15" s="383" t="s">
        <v>118</v>
      </c>
      <c r="H15" s="385"/>
      <c r="I15" s="386" t="s">
        <v>629</v>
      </c>
      <c r="J15" s="390"/>
      <c r="K15" s="390"/>
      <c r="L15" s="387"/>
      <c r="M15" s="196"/>
      <c r="N15" s="3" t="s">
        <v>66</v>
      </c>
      <c r="P15" s="247" t="s">
        <v>65</v>
      </c>
      <c r="Q15" s="247" t="s">
        <v>602</v>
      </c>
      <c r="S15" s="14"/>
      <c r="T15" s="14"/>
    </row>
    <row r="16" spans="1:27" ht="27" customHeight="1">
      <c r="A16" s="383" t="s">
        <v>119</v>
      </c>
      <c r="B16" s="385"/>
      <c r="C16" s="386" t="s">
        <v>426</v>
      </c>
      <c r="D16" s="390"/>
      <c r="E16" s="415" t="s">
        <v>636</v>
      </c>
      <c r="F16" s="390"/>
      <c r="G16" s="415" t="s">
        <v>637</v>
      </c>
      <c r="H16" s="390"/>
      <c r="I16" s="390"/>
      <c r="J16" s="390"/>
      <c r="K16" s="390"/>
      <c r="L16" s="387"/>
      <c r="M16" s="196"/>
      <c r="N16" s="3" t="s">
        <v>68</v>
      </c>
      <c r="P16" s="247" t="s">
        <v>67</v>
      </c>
      <c r="S16" s="17"/>
    </row>
    <row r="17" spans="1:16" ht="25.5" customHeight="1">
      <c r="A17" s="383" t="s">
        <v>122</v>
      </c>
      <c r="B17" s="385"/>
      <c r="C17" s="151" t="s">
        <v>123</v>
      </c>
      <c r="D17" s="386"/>
      <c r="E17" s="390"/>
      <c r="F17" s="155" t="s">
        <v>124</v>
      </c>
      <c r="G17" s="383" t="s">
        <v>121</v>
      </c>
      <c r="H17" s="385"/>
      <c r="I17" s="386"/>
      <c r="J17" s="390"/>
      <c r="K17" s="420" t="s">
        <v>120</v>
      </c>
      <c r="L17" s="389"/>
      <c r="M17" s="197"/>
      <c r="N17" s="3" t="s">
        <v>70</v>
      </c>
      <c r="P17" s="247" t="s">
        <v>69</v>
      </c>
    </row>
    <row r="18" spans="1:16">
      <c r="A18" s="154"/>
      <c r="B18" s="154"/>
      <c r="C18" s="154"/>
      <c r="D18" s="154"/>
      <c r="E18" s="154"/>
      <c r="F18" s="154"/>
      <c r="G18" s="154"/>
      <c r="H18" s="154"/>
      <c r="I18" s="154"/>
      <c r="J18" s="154"/>
      <c r="K18" s="154"/>
      <c r="L18" s="154"/>
      <c r="M18" s="154"/>
      <c r="N18" s="3" t="s">
        <v>72</v>
      </c>
      <c r="P18" s="247" t="s">
        <v>71</v>
      </c>
    </row>
    <row r="19" spans="1:16">
      <c r="A19" s="154"/>
      <c r="B19" s="154"/>
      <c r="C19" s="154"/>
      <c r="D19" s="154"/>
      <c r="E19" s="154"/>
      <c r="F19" s="154"/>
      <c r="G19" s="154"/>
      <c r="H19" s="154"/>
      <c r="I19" s="154"/>
      <c r="J19" s="154"/>
      <c r="K19" s="154"/>
      <c r="L19" s="154"/>
      <c r="M19" s="154"/>
      <c r="N19" s="3" t="s">
        <v>74</v>
      </c>
      <c r="P19" s="247" t="s">
        <v>73</v>
      </c>
    </row>
    <row r="20" spans="1:16" ht="20">
      <c r="A20" s="211" t="s">
        <v>480</v>
      </c>
      <c r="N20" s="3" t="s">
        <v>587</v>
      </c>
      <c r="P20" s="247" t="s">
        <v>597</v>
      </c>
    </row>
    <row r="21" spans="1:16">
      <c r="A21" s="429" t="s">
        <v>512</v>
      </c>
      <c r="B21" s="429"/>
      <c r="C21" s="429"/>
      <c r="D21" s="429"/>
      <c r="E21" s="429"/>
      <c r="F21" s="429"/>
      <c r="G21" s="429"/>
      <c r="H21" s="429"/>
      <c r="I21" s="429"/>
      <c r="J21" s="429"/>
      <c r="K21" s="429"/>
      <c r="L21" s="429"/>
      <c r="M21" s="179"/>
      <c r="N21" s="3" t="s">
        <v>478</v>
      </c>
      <c r="P21" s="247" t="s">
        <v>598</v>
      </c>
    </row>
    <row r="22" spans="1:16">
      <c r="A22" s="429"/>
      <c r="B22" s="429"/>
      <c r="C22" s="429"/>
      <c r="D22" s="429"/>
      <c r="E22" s="429"/>
      <c r="F22" s="429"/>
      <c r="G22" s="429"/>
      <c r="H22" s="429"/>
      <c r="I22" s="429"/>
      <c r="J22" s="429"/>
      <c r="K22" s="429"/>
      <c r="L22" s="429"/>
      <c r="M22" s="179"/>
      <c r="N22" s="3" t="s">
        <v>588</v>
      </c>
      <c r="P22" s="247" t="s">
        <v>479</v>
      </c>
    </row>
    <row r="23" spans="1:16">
      <c r="A23" s="429"/>
      <c r="B23" s="429"/>
      <c r="C23" s="429"/>
      <c r="D23" s="429"/>
      <c r="E23" s="429"/>
      <c r="F23" s="429"/>
      <c r="G23" s="429"/>
      <c r="H23" s="429"/>
      <c r="I23" s="429"/>
      <c r="J23" s="429"/>
      <c r="K23" s="429"/>
      <c r="L23" s="429"/>
      <c r="M23" s="179"/>
      <c r="N23" s="3" t="s">
        <v>483</v>
      </c>
      <c r="P23" s="247" t="s">
        <v>599</v>
      </c>
    </row>
    <row r="24" spans="1:16">
      <c r="A24" s="429"/>
      <c r="B24" s="429"/>
      <c r="C24" s="429"/>
      <c r="D24" s="429"/>
      <c r="E24" s="429"/>
      <c r="F24" s="429"/>
      <c r="G24" s="429"/>
      <c r="H24" s="429"/>
      <c r="I24" s="429"/>
      <c r="J24" s="429"/>
      <c r="K24" s="429"/>
      <c r="L24" s="429"/>
      <c r="M24" s="179"/>
      <c r="N24" s="3" t="s">
        <v>589</v>
      </c>
      <c r="P24" s="247" t="s">
        <v>484</v>
      </c>
    </row>
    <row r="25" spans="1:16" ht="22" customHeight="1">
      <c r="A25" s="212" t="s">
        <v>503</v>
      </c>
      <c r="B25" s="430" t="s">
        <v>15</v>
      </c>
      <c r="C25" s="431"/>
      <c r="D25" s="432"/>
      <c r="E25" s="213" t="s">
        <v>504</v>
      </c>
      <c r="F25" s="213" t="s">
        <v>505</v>
      </c>
      <c r="G25" s="430" t="s">
        <v>506</v>
      </c>
      <c r="H25" s="431"/>
      <c r="I25" s="432"/>
      <c r="J25" s="213" t="s">
        <v>507</v>
      </c>
      <c r="K25" s="430" t="s">
        <v>508</v>
      </c>
      <c r="L25" s="433"/>
      <c r="M25" s="146"/>
      <c r="N25" s="3" t="s">
        <v>486</v>
      </c>
      <c r="P25" s="247" t="s">
        <v>485</v>
      </c>
    </row>
    <row r="26" spans="1:16" ht="22" customHeight="1">
      <c r="A26" s="214">
        <v>1</v>
      </c>
      <c r="B26" s="434" t="s">
        <v>638</v>
      </c>
      <c r="C26" s="435"/>
      <c r="D26" s="436"/>
      <c r="E26" s="250" t="s">
        <v>639</v>
      </c>
      <c r="F26" s="250" t="s">
        <v>639</v>
      </c>
      <c r="G26" s="434" t="s">
        <v>650</v>
      </c>
      <c r="H26" s="435"/>
      <c r="I26" s="436"/>
      <c r="J26" s="215">
        <v>200</v>
      </c>
      <c r="K26" s="437">
        <v>1</v>
      </c>
      <c r="L26" s="438"/>
      <c r="M26" s="216"/>
      <c r="N26" s="3" t="s">
        <v>488</v>
      </c>
      <c r="P26" s="247" t="s">
        <v>487</v>
      </c>
    </row>
    <row r="27" spans="1:16" ht="22" customHeight="1">
      <c r="A27" s="214">
        <v>2</v>
      </c>
      <c r="B27" s="434" t="s">
        <v>652</v>
      </c>
      <c r="C27" s="435"/>
      <c r="D27" s="436"/>
      <c r="E27" s="250" t="s">
        <v>639</v>
      </c>
      <c r="F27" s="250"/>
      <c r="G27" s="434" t="s">
        <v>653</v>
      </c>
      <c r="H27" s="435"/>
      <c r="I27" s="436"/>
      <c r="J27" s="215"/>
      <c r="K27" s="439"/>
      <c r="L27" s="440"/>
      <c r="M27" s="217"/>
      <c r="N27" s="3" t="s">
        <v>590</v>
      </c>
      <c r="P27" s="247" t="s">
        <v>489</v>
      </c>
    </row>
    <row r="28" spans="1:16" ht="22" customHeight="1">
      <c r="A28" s="214">
        <v>3</v>
      </c>
      <c r="B28" s="434"/>
      <c r="C28" s="435"/>
      <c r="D28" s="436"/>
      <c r="E28" s="250"/>
      <c r="F28" s="250"/>
      <c r="G28" s="434"/>
      <c r="H28" s="435"/>
      <c r="I28" s="436"/>
      <c r="J28" s="215"/>
      <c r="K28" s="439"/>
      <c r="L28" s="440"/>
      <c r="M28" s="217"/>
      <c r="N28" s="3" t="s">
        <v>490</v>
      </c>
      <c r="P28" s="247" t="s">
        <v>600</v>
      </c>
    </row>
    <row r="29" spans="1:16" ht="22" customHeight="1">
      <c r="A29" s="214">
        <v>4</v>
      </c>
      <c r="B29" s="434"/>
      <c r="C29" s="435"/>
      <c r="D29" s="436"/>
      <c r="E29" s="250"/>
      <c r="F29" s="250"/>
      <c r="G29" s="434"/>
      <c r="H29" s="435"/>
      <c r="I29" s="436"/>
      <c r="J29" s="215"/>
      <c r="K29" s="439"/>
      <c r="L29" s="440"/>
      <c r="M29" s="217"/>
      <c r="N29" s="3" t="s">
        <v>492</v>
      </c>
      <c r="P29" s="247" t="s">
        <v>491</v>
      </c>
    </row>
    <row r="30" spans="1:16" ht="22" customHeight="1">
      <c r="A30" s="214">
        <v>5</v>
      </c>
      <c r="B30" s="434"/>
      <c r="C30" s="435"/>
      <c r="D30" s="436"/>
      <c r="E30" s="250"/>
      <c r="F30" s="250"/>
      <c r="G30" s="434"/>
      <c r="H30" s="435"/>
      <c r="I30" s="436"/>
      <c r="J30" s="215"/>
      <c r="K30" s="439"/>
      <c r="L30" s="440"/>
      <c r="M30" s="217"/>
      <c r="N30" s="3" t="s">
        <v>494</v>
      </c>
      <c r="P30" s="247" t="s">
        <v>493</v>
      </c>
    </row>
    <row r="31" spans="1:16" ht="22" customHeight="1">
      <c r="A31" s="214" t="s">
        <v>509</v>
      </c>
      <c r="B31" s="445" t="s">
        <v>510</v>
      </c>
      <c r="C31" s="446"/>
      <c r="D31" s="446"/>
      <c r="E31" s="434"/>
      <c r="F31" s="435"/>
      <c r="G31" s="435"/>
      <c r="H31" s="435"/>
      <c r="I31" s="436"/>
      <c r="J31" s="215"/>
      <c r="K31" s="439"/>
      <c r="L31" s="440"/>
      <c r="M31" s="217"/>
      <c r="N31" s="3" t="s">
        <v>496</v>
      </c>
      <c r="P31" s="247" t="s">
        <v>495</v>
      </c>
    </row>
    <row r="32" spans="1:16" ht="22" customHeight="1">
      <c r="A32" s="447" t="s">
        <v>34</v>
      </c>
      <c r="B32" s="448"/>
      <c r="C32" s="448"/>
      <c r="D32" s="448"/>
      <c r="E32" s="448"/>
      <c r="F32" s="448"/>
      <c r="G32" s="448"/>
      <c r="H32" s="448"/>
      <c r="I32" s="449"/>
      <c r="J32" s="218">
        <f>SUM(J26:J31)</f>
        <v>200</v>
      </c>
      <c r="K32" s="450">
        <f>SUM(K26:L31)</f>
        <v>1</v>
      </c>
      <c r="L32" s="451"/>
      <c r="M32" s="219"/>
      <c r="N32" s="3" t="s">
        <v>498</v>
      </c>
      <c r="P32" s="247" t="s">
        <v>497</v>
      </c>
    </row>
    <row r="33" spans="1:16" ht="109.5" customHeight="1">
      <c r="A33" s="441" t="s">
        <v>511</v>
      </c>
      <c r="B33" s="442"/>
      <c r="C33" s="442"/>
      <c r="D33" s="443"/>
      <c r="E33" s="444"/>
      <c r="F33" s="402"/>
      <c r="G33" s="402"/>
      <c r="H33" s="402"/>
      <c r="I33" s="402"/>
      <c r="J33" s="402"/>
      <c r="K33" s="402"/>
      <c r="L33" s="403"/>
      <c r="M33" s="194"/>
      <c r="N33" s="3" t="s">
        <v>500</v>
      </c>
      <c r="P33" s="247" t="s">
        <v>499</v>
      </c>
    </row>
    <row r="34" spans="1:16">
      <c r="N34" s="3" t="s">
        <v>501</v>
      </c>
    </row>
    <row r="35" spans="1:16">
      <c r="N35" s="3" t="s">
        <v>502</v>
      </c>
    </row>
    <row r="36" spans="1:16">
      <c r="N36" s="3" t="s">
        <v>75</v>
      </c>
    </row>
    <row r="37" spans="1:16">
      <c r="N37" s="3" t="s">
        <v>76</v>
      </c>
    </row>
    <row r="38" spans="1:16" ht="22" customHeight="1">
      <c r="N38" s="3" t="s">
        <v>77</v>
      </c>
    </row>
    <row r="39" spans="1:16" ht="22" customHeight="1">
      <c r="N39" s="3" t="s">
        <v>78</v>
      </c>
    </row>
    <row r="40" spans="1:16" ht="22" customHeight="1">
      <c r="N40" s="3" t="s">
        <v>79</v>
      </c>
    </row>
    <row r="41" spans="1:16" ht="22" customHeight="1">
      <c r="N41" s="3" t="s">
        <v>80</v>
      </c>
    </row>
    <row r="42" spans="1:16" ht="22" customHeight="1">
      <c r="N42" s="3" t="s">
        <v>81</v>
      </c>
    </row>
    <row r="43" spans="1:16" ht="22" customHeight="1">
      <c r="N43" s="3" t="s">
        <v>82</v>
      </c>
    </row>
    <row r="44" spans="1:16" ht="22" customHeight="1">
      <c r="N44" s="3" t="s">
        <v>83</v>
      </c>
    </row>
    <row r="45" spans="1:16" ht="22" customHeight="1">
      <c r="N45" s="3" t="s">
        <v>84</v>
      </c>
    </row>
    <row r="46" spans="1:16" ht="109.5" customHeight="1">
      <c r="N46" s="3" t="s">
        <v>85</v>
      </c>
    </row>
    <row r="47" spans="1:16">
      <c r="N47" s="3" t="s">
        <v>86</v>
      </c>
    </row>
    <row r="48" spans="1:16">
      <c r="N48" s="3" t="s">
        <v>87</v>
      </c>
    </row>
    <row r="49" spans="14:14">
      <c r="N49" s="3" t="s">
        <v>88</v>
      </c>
    </row>
    <row r="50" spans="14:14">
      <c r="N50" s="3" t="s">
        <v>89</v>
      </c>
    </row>
    <row r="51" spans="14:14">
      <c r="N51" s="3" t="s">
        <v>90</v>
      </c>
    </row>
    <row r="52" spans="14:14">
      <c r="N52" s="3" t="s">
        <v>91</v>
      </c>
    </row>
    <row r="53" spans="14:14">
      <c r="N53" s="3" t="s">
        <v>92</v>
      </c>
    </row>
    <row r="54" spans="14:14">
      <c r="N54" s="3" t="s">
        <v>93</v>
      </c>
    </row>
    <row r="55" spans="14:14">
      <c r="N55" s="3" t="s">
        <v>94</v>
      </c>
    </row>
    <row r="56" spans="14:14">
      <c r="N56" s="3" t="s">
        <v>591</v>
      </c>
    </row>
    <row r="57" spans="14:14">
      <c r="N57" s="3" t="s">
        <v>592</v>
      </c>
    </row>
    <row r="58" spans="14:14">
      <c r="N58" s="3" t="s">
        <v>95</v>
      </c>
    </row>
    <row r="59" spans="14:14">
      <c r="N59" s="3" t="s">
        <v>593</v>
      </c>
    </row>
    <row r="60" spans="14:14">
      <c r="N60" s="3" t="s">
        <v>96</v>
      </c>
    </row>
    <row r="61" spans="14:14">
      <c r="N61" s="3" t="s">
        <v>97</v>
      </c>
    </row>
    <row r="62" spans="14:14">
      <c r="N62" s="247" t="s">
        <v>69</v>
      </c>
    </row>
    <row r="63" spans="14:14">
      <c r="N63" s="247" t="s">
        <v>98</v>
      </c>
    </row>
    <row r="64" spans="14:14">
      <c r="N64" s="247" t="s">
        <v>99</v>
      </c>
    </row>
    <row r="65" spans="14:14">
      <c r="N65" s="247" t="s">
        <v>100</v>
      </c>
    </row>
  </sheetData>
  <sheetProtection algorithmName="SHA-512" hashValue="T3fR4DijCKHRYigT8iXUOINYGNaFO5729ryixUc2K2os0swYAdqHWrfFAxs3vo1YX+U2E2n+wsP90jgN3znNOg==" saltValue="N6VYr1sSXJNbvjtSgPFJ8Q==" spinCount="100000" sheet="1" scenarios="1" formatCells="0" insertRows="0"/>
  <mergeCells count="67">
    <mergeCell ref="A33:D33"/>
    <mergeCell ref="E33:L33"/>
    <mergeCell ref="B31:D31"/>
    <mergeCell ref="E31:I31"/>
    <mergeCell ref="K31:L31"/>
    <mergeCell ref="A32:I32"/>
    <mergeCell ref="K32:L32"/>
    <mergeCell ref="B29:D29"/>
    <mergeCell ref="G29:I29"/>
    <mergeCell ref="K29:L29"/>
    <mergeCell ref="B30:D30"/>
    <mergeCell ref="G30:I30"/>
    <mergeCell ref="K30:L30"/>
    <mergeCell ref="B27:D27"/>
    <mergeCell ref="G27:I27"/>
    <mergeCell ref="K27:L27"/>
    <mergeCell ref="B28:D28"/>
    <mergeCell ref="G28:I28"/>
    <mergeCell ref="K28:L28"/>
    <mergeCell ref="A21:L24"/>
    <mergeCell ref="B25:D25"/>
    <mergeCell ref="G25:I25"/>
    <mergeCell ref="K25:L25"/>
    <mergeCell ref="B26:D26"/>
    <mergeCell ref="G26:I26"/>
    <mergeCell ref="K26:L26"/>
    <mergeCell ref="A11:H11"/>
    <mergeCell ref="B7:H7"/>
    <mergeCell ref="B8:H8"/>
    <mergeCell ref="I15:L15"/>
    <mergeCell ref="J4:K4"/>
    <mergeCell ref="I7:K7"/>
    <mergeCell ref="I8:K8"/>
    <mergeCell ref="I9:K9"/>
    <mergeCell ref="I10:K10"/>
    <mergeCell ref="I6:L6"/>
    <mergeCell ref="G16:L16"/>
    <mergeCell ref="B9:H9"/>
    <mergeCell ref="A14:L14"/>
    <mergeCell ref="I11:K11"/>
    <mergeCell ref="G17:H17"/>
    <mergeCell ref="A15:B15"/>
    <mergeCell ref="C15:F15"/>
    <mergeCell ref="C16:D16"/>
    <mergeCell ref="E16:F16"/>
    <mergeCell ref="A16:B16"/>
    <mergeCell ref="A17:B17"/>
    <mergeCell ref="D17:E17"/>
    <mergeCell ref="I17:J17"/>
    <mergeCell ref="K17:L17"/>
    <mergeCell ref="G15:H15"/>
    <mergeCell ref="A10:H10"/>
    <mergeCell ref="H1:H2"/>
    <mergeCell ref="A6:H6"/>
    <mergeCell ref="D4:E4"/>
    <mergeCell ref="A3:B3"/>
    <mergeCell ref="F3:G3"/>
    <mergeCell ref="C3:E3"/>
    <mergeCell ref="A1:B2"/>
    <mergeCell ref="D1:G1"/>
    <mergeCell ref="D2:G2"/>
    <mergeCell ref="G4:H4"/>
    <mergeCell ref="C5:L5"/>
    <mergeCell ref="I1:K2"/>
    <mergeCell ref="L1:L2"/>
    <mergeCell ref="A4:B4"/>
    <mergeCell ref="A5:B5"/>
  </mergeCells>
  <phoneticPr fontId="41"/>
  <dataValidations count="8">
    <dataValidation type="list" allowBlank="1" showInputMessage="1" showErrorMessage="1" sqref="D4:E4" xr:uid="{00000000-0002-0000-0200-000000000000}">
      <formula1>$M$4:$Q$4</formula1>
    </dataValidation>
    <dataValidation type="list" allowBlank="1" showInputMessage="1" showErrorMessage="1" sqref="G4:H4" xr:uid="{00000000-0002-0000-0200-000001000000}">
      <formula1>INDIRECT($D$4)</formula1>
    </dataValidation>
    <dataValidation type="list" allowBlank="1" showInputMessage="1" showErrorMessage="1" sqref="E16:F16" xr:uid="{00000000-0002-0000-0200-000002000000}">
      <formula1>"(選択),東京都,神奈川県,埼玉県,千葉県,群馬県,栃木県,茨城県,山梨県"</formula1>
    </dataValidation>
    <dataValidation type="whole" operator="greaterThanOrEqual" allowBlank="1" showInputMessage="1" showErrorMessage="1" sqref="D1:G1" xr:uid="{00000000-0002-0000-0200-000003000000}">
      <formula1>-10000000000000000</formula1>
    </dataValidation>
    <dataValidation type="whole" operator="greaterThanOrEqual" allowBlank="1" showInputMessage="1" showErrorMessage="1" errorTitle="エラー" error="0以上の整数を入力してください。単位は「円」です。" prompt="単位は「円」です" sqref="I1:K2" xr:uid="{00000000-0002-0000-0200-000004000000}">
      <formula1>0</formula1>
    </dataValidation>
    <dataValidation type="whole" operator="greaterThanOrEqual" allowBlank="1" showInputMessage="1" showErrorMessage="1" errorTitle="エラー" error="0以上の整数を入力してください" sqref="C3:E3 I3 K3 I7:K10" xr:uid="{00000000-0002-0000-0200-000005000000}">
      <formula1>0</formula1>
    </dataValidation>
    <dataValidation type="whole" operator="greaterThanOrEqual" allowBlank="1" showInputMessage="1" showErrorMessage="1" errorTitle="エラー" error="整数を入力してください。単位は「円」です。" prompt="単位は「円」です" sqref="J4:K4" xr:uid="{00000000-0002-0000-0200-000006000000}">
      <formula1>-10000000000000000</formula1>
    </dataValidation>
    <dataValidation type="list" allowBlank="1" showInputMessage="1" showErrorMessage="1" sqref="E26:F30" xr:uid="{00000000-0002-0000-0200-000007000000}">
      <formula1>"○"</formula1>
    </dataValidation>
  </dataValidations>
  <printOptions horizontalCentered="1"/>
  <pageMargins left="0.70866141732283472" right="0.70866141732283472" top="0.74803149606299213" bottom="0.74803149606299213" header="0.31496062992125984" footer="0.31496062992125984"/>
  <pageSetup paperSize="9" scale="68"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79998168889431442"/>
  </sheetPr>
  <dimension ref="B1:Z52"/>
  <sheetViews>
    <sheetView view="pageBreakPreview" topLeftCell="A11" zoomScale="185" zoomScaleNormal="100" zoomScaleSheetLayoutView="185" workbookViewId="0">
      <selection activeCell="C37" sqref="C37:D38"/>
    </sheetView>
  </sheetViews>
  <sheetFormatPr baseColWidth="10" defaultColWidth="8.5" defaultRowHeight="18"/>
  <cols>
    <col min="1" max="1" width="0.5" style="4" customWidth="1"/>
    <col min="2" max="2" width="9.83203125" style="4" customWidth="1"/>
    <col min="3" max="9" width="8.5" style="4"/>
    <col min="10" max="10" width="12.5" style="4" customWidth="1"/>
    <col min="11" max="11" width="4.5" style="4" customWidth="1"/>
    <col min="12" max="12" width="9.83203125" style="4" customWidth="1"/>
    <col min="13" max="13" width="9.5" style="4" customWidth="1"/>
    <col min="14" max="14" width="8.5" style="4"/>
    <col min="15" max="15" width="0.83203125" style="4" customWidth="1"/>
    <col min="16" max="25" width="8.5" style="4"/>
    <col min="26" max="26" width="8.5" style="4" hidden="1" customWidth="1"/>
    <col min="27" max="16384" width="8.5" style="4"/>
  </cols>
  <sheetData>
    <row r="1" spans="2:26" ht="20">
      <c r="B1" s="13" t="s">
        <v>481</v>
      </c>
      <c r="C1" s="13"/>
      <c r="S1" s="245"/>
      <c r="Z1" s="260" t="s">
        <v>560</v>
      </c>
    </row>
    <row r="2" spans="2:26" ht="36" customHeight="1">
      <c r="B2" s="491" t="s">
        <v>101</v>
      </c>
      <c r="C2" s="492"/>
      <c r="D2" s="492"/>
      <c r="E2" s="492"/>
      <c r="F2" s="492"/>
      <c r="G2" s="492"/>
      <c r="H2" s="492"/>
      <c r="I2" s="492"/>
      <c r="J2" s="492"/>
      <c r="K2" s="493"/>
      <c r="L2" s="494" t="s">
        <v>640</v>
      </c>
      <c r="M2" s="495"/>
      <c r="N2" s="496"/>
      <c r="S2" s="245"/>
      <c r="Z2" s="260" t="s">
        <v>561</v>
      </c>
    </row>
    <row r="3" spans="2:26" ht="36" customHeight="1">
      <c r="B3" s="497" t="s">
        <v>126</v>
      </c>
      <c r="C3" s="492"/>
      <c r="D3" s="492"/>
      <c r="E3" s="492"/>
      <c r="F3" s="492"/>
      <c r="G3" s="492"/>
      <c r="H3" s="492"/>
      <c r="I3" s="492"/>
      <c r="J3" s="492"/>
      <c r="K3" s="493"/>
      <c r="L3" s="498" t="s">
        <v>641</v>
      </c>
      <c r="M3" s="495"/>
      <c r="N3" s="496"/>
      <c r="O3" s="16"/>
      <c r="S3" s="245"/>
      <c r="T3" s="245"/>
      <c r="Z3" s="260" t="s">
        <v>562</v>
      </c>
    </row>
    <row r="4" spans="2:26">
      <c r="B4" s="5"/>
      <c r="C4" s="5"/>
      <c r="D4" s="5"/>
      <c r="E4" s="5"/>
      <c r="F4" s="5"/>
      <c r="G4" s="5"/>
      <c r="H4" s="5"/>
      <c r="I4" s="5"/>
      <c r="J4" s="5"/>
      <c r="K4" s="5"/>
      <c r="L4" s="6"/>
      <c r="M4" s="6"/>
      <c r="N4" s="6"/>
      <c r="S4" s="245"/>
      <c r="T4" s="245"/>
      <c r="Z4" s="260" t="s">
        <v>573</v>
      </c>
    </row>
    <row r="5" spans="2:26">
      <c r="B5" s="7" t="s">
        <v>128</v>
      </c>
      <c r="C5" s="7"/>
      <c r="D5" s="8"/>
      <c r="E5" s="8"/>
      <c r="F5" s="8"/>
      <c r="G5" s="8"/>
      <c r="H5" s="8"/>
      <c r="I5" s="8"/>
      <c r="J5" s="8"/>
      <c r="K5" s="8"/>
      <c r="L5" s="8"/>
      <c r="M5" s="8"/>
      <c r="N5" s="8"/>
      <c r="Z5" s="260" t="s">
        <v>574</v>
      </c>
    </row>
    <row r="6" spans="2:26" ht="67.5" customHeight="1">
      <c r="B6" s="489" t="s">
        <v>102</v>
      </c>
      <c r="C6" s="490"/>
      <c r="D6" s="499" t="s">
        <v>103</v>
      </c>
      <c r="E6" s="500"/>
      <c r="F6" s="490"/>
      <c r="G6" s="502" t="s">
        <v>104</v>
      </c>
      <c r="H6" s="500"/>
      <c r="I6" s="500"/>
      <c r="J6" s="501" t="s">
        <v>105</v>
      </c>
      <c r="K6" s="490"/>
      <c r="L6" s="21" t="s">
        <v>106</v>
      </c>
      <c r="M6" s="21" t="s">
        <v>107</v>
      </c>
      <c r="N6" s="22" t="s">
        <v>108</v>
      </c>
      <c r="Z6" s="260" t="s">
        <v>575</v>
      </c>
    </row>
    <row r="7" spans="2:26" ht="22" customHeight="1">
      <c r="B7" s="508" t="s">
        <v>642</v>
      </c>
      <c r="C7" s="509"/>
      <c r="D7" s="503" t="s">
        <v>643</v>
      </c>
      <c r="E7" s="504"/>
      <c r="F7" s="509"/>
      <c r="G7" s="503" t="s">
        <v>644</v>
      </c>
      <c r="H7" s="504"/>
      <c r="I7" s="504"/>
      <c r="J7" s="188">
        <v>1000</v>
      </c>
      <c r="K7" s="191" t="s">
        <v>449</v>
      </c>
      <c r="L7" s="199" t="s">
        <v>645</v>
      </c>
      <c r="M7" s="186" t="s">
        <v>645</v>
      </c>
      <c r="N7" s="187" t="s">
        <v>646</v>
      </c>
      <c r="Z7" s="260" t="s">
        <v>576</v>
      </c>
    </row>
    <row r="8" spans="2:26" ht="22" customHeight="1">
      <c r="B8" s="508"/>
      <c r="C8" s="509"/>
      <c r="D8" s="503"/>
      <c r="E8" s="504"/>
      <c r="F8" s="509"/>
      <c r="G8" s="503"/>
      <c r="H8" s="504"/>
      <c r="I8" s="504"/>
      <c r="J8" s="188"/>
      <c r="K8" s="191" t="s">
        <v>449</v>
      </c>
      <c r="L8" s="186" t="s">
        <v>202</v>
      </c>
      <c r="M8" s="186" t="s">
        <v>202</v>
      </c>
      <c r="N8" s="187" t="s">
        <v>202</v>
      </c>
      <c r="Z8" s="260" t="s">
        <v>577</v>
      </c>
    </row>
    <row r="9" spans="2:26" ht="22" customHeight="1">
      <c r="B9" s="510"/>
      <c r="C9" s="509"/>
      <c r="D9" s="503"/>
      <c r="E9" s="504"/>
      <c r="F9" s="509"/>
      <c r="G9" s="503"/>
      <c r="H9" s="504"/>
      <c r="I9" s="504"/>
      <c r="J9" s="189"/>
      <c r="K9" s="191" t="s">
        <v>449</v>
      </c>
      <c r="L9" s="200" t="s">
        <v>202</v>
      </c>
      <c r="M9" s="200" t="s">
        <v>202</v>
      </c>
      <c r="N9" s="201" t="s">
        <v>202</v>
      </c>
      <c r="Z9" s="260" t="s">
        <v>578</v>
      </c>
    </row>
    <row r="10" spans="2:26" ht="22" customHeight="1">
      <c r="B10" s="511"/>
      <c r="C10" s="512"/>
      <c r="D10" s="505"/>
      <c r="E10" s="506"/>
      <c r="F10" s="512"/>
      <c r="G10" s="505"/>
      <c r="H10" s="506"/>
      <c r="I10" s="506"/>
      <c r="J10" s="190"/>
      <c r="K10" s="192" t="s">
        <v>449</v>
      </c>
      <c r="L10" s="202" t="s">
        <v>202</v>
      </c>
      <c r="M10" s="202" t="s">
        <v>202</v>
      </c>
      <c r="N10" s="203" t="s">
        <v>202</v>
      </c>
      <c r="Z10" s="260" t="s">
        <v>579</v>
      </c>
    </row>
    <row r="11" spans="2:26">
      <c r="B11" s="131" t="s">
        <v>412</v>
      </c>
      <c r="N11" s="132"/>
      <c r="Z11" s="260" t="s">
        <v>580</v>
      </c>
    </row>
    <row r="12" spans="2:26">
      <c r="Z12" s="260" t="s">
        <v>581</v>
      </c>
    </row>
    <row r="13" spans="2:26" ht="29.25" customHeight="1">
      <c r="B13" s="262" t="s">
        <v>620</v>
      </c>
      <c r="C13" s="9"/>
      <c r="Z13" s="260" t="s">
        <v>582</v>
      </c>
    </row>
    <row r="14" spans="2:26">
      <c r="B14" s="514" t="s">
        <v>460</v>
      </c>
      <c r="C14" s="515"/>
      <c r="D14" s="515"/>
      <c r="E14" s="515"/>
      <c r="F14" s="515"/>
      <c r="G14" s="515"/>
      <c r="H14" s="515"/>
      <c r="I14" s="515"/>
      <c r="J14" s="515"/>
      <c r="K14" s="515"/>
      <c r="L14" s="515"/>
      <c r="M14" s="515"/>
      <c r="N14" s="516"/>
      <c r="Z14" s="260" t="s">
        <v>532</v>
      </c>
    </row>
    <row r="15" spans="2:26" ht="31.5" customHeight="1">
      <c r="B15" s="23" t="s">
        <v>127</v>
      </c>
      <c r="C15" s="513"/>
      <c r="D15" s="513"/>
      <c r="E15" s="513"/>
      <c r="F15" s="513"/>
      <c r="G15" s="513"/>
      <c r="H15" s="513"/>
      <c r="I15" s="513"/>
      <c r="J15" s="513"/>
      <c r="K15" s="513"/>
      <c r="L15" s="517"/>
      <c r="M15" s="517"/>
      <c r="N15" s="518"/>
      <c r="O15" s="16"/>
      <c r="Z15" s="260" t="s">
        <v>533</v>
      </c>
    </row>
    <row r="16" spans="2:26" ht="35.25" customHeight="1">
      <c r="B16" s="24" t="s">
        <v>109</v>
      </c>
      <c r="C16" s="525"/>
      <c r="D16" s="525"/>
      <c r="E16" s="525"/>
      <c r="F16" s="513"/>
      <c r="G16" s="513"/>
      <c r="H16" s="513"/>
      <c r="I16" s="513"/>
      <c r="J16" s="513"/>
      <c r="K16" s="513"/>
      <c r="L16" s="517"/>
      <c r="M16" s="517"/>
      <c r="N16" s="518"/>
      <c r="Z16" s="260" t="s">
        <v>534</v>
      </c>
    </row>
    <row r="17" spans="2:26" ht="23.25" customHeight="1">
      <c r="B17" s="25" t="s">
        <v>110</v>
      </c>
      <c r="C17" s="523" t="s">
        <v>202</v>
      </c>
      <c r="D17" s="507"/>
      <c r="E17" s="507"/>
      <c r="F17" s="507" t="s">
        <v>202</v>
      </c>
      <c r="G17" s="507"/>
      <c r="H17" s="507"/>
      <c r="I17" s="507" t="s">
        <v>202</v>
      </c>
      <c r="J17" s="507"/>
      <c r="K17" s="507"/>
      <c r="L17" s="507" t="s">
        <v>202</v>
      </c>
      <c r="M17" s="507"/>
      <c r="N17" s="507"/>
      <c r="O17" s="59"/>
      <c r="Z17" s="260" t="s">
        <v>535</v>
      </c>
    </row>
    <row r="18" spans="2:26" ht="23.25" customHeight="1">
      <c r="B18" s="25" t="s">
        <v>111</v>
      </c>
      <c r="C18" s="507"/>
      <c r="D18" s="507"/>
      <c r="E18" s="507"/>
      <c r="F18" s="507"/>
      <c r="G18" s="507"/>
      <c r="H18" s="507"/>
      <c r="I18" s="507"/>
      <c r="J18" s="507"/>
      <c r="K18" s="507"/>
      <c r="L18" s="519"/>
      <c r="M18" s="519"/>
      <c r="N18" s="520"/>
      <c r="Z18" s="260" t="s">
        <v>536</v>
      </c>
    </row>
    <row r="19" spans="2:26" ht="23.25" customHeight="1">
      <c r="B19" s="25" t="s">
        <v>112</v>
      </c>
      <c r="C19" s="522"/>
      <c r="D19" s="522"/>
      <c r="E19" s="522"/>
      <c r="F19" s="522"/>
      <c r="G19" s="522"/>
      <c r="H19" s="522"/>
      <c r="I19" s="522"/>
      <c r="J19" s="522"/>
      <c r="K19" s="522"/>
      <c r="L19" s="529"/>
      <c r="M19" s="529"/>
      <c r="N19" s="530"/>
      <c r="Z19" s="260" t="s">
        <v>537</v>
      </c>
    </row>
    <row r="20" spans="2:26" ht="66" customHeight="1">
      <c r="B20" s="26" t="s">
        <v>113</v>
      </c>
      <c r="C20" s="521"/>
      <c r="D20" s="521"/>
      <c r="E20" s="521"/>
      <c r="F20" s="521"/>
      <c r="G20" s="521"/>
      <c r="H20" s="521"/>
      <c r="I20" s="521"/>
      <c r="J20" s="521"/>
      <c r="K20" s="521"/>
      <c r="L20" s="531"/>
      <c r="M20" s="531"/>
      <c r="N20" s="532"/>
      <c r="Z20" s="260" t="s">
        <v>538</v>
      </c>
    </row>
    <row r="21" spans="2:26" ht="76.5" customHeight="1">
      <c r="B21" s="25" t="s">
        <v>114</v>
      </c>
      <c r="C21" s="507"/>
      <c r="D21" s="507"/>
      <c r="E21" s="507"/>
      <c r="F21" s="507"/>
      <c r="G21" s="507"/>
      <c r="H21" s="507"/>
      <c r="I21" s="507"/>
      <c r="J21" s="507"/>
      <c r="K21" s="507"/>
      <c r="L21" s="519"/>
      <c r="M21" s="519"/>
      <c r="N21" s="520"/>
      <c r="Z21" s="260" t="s">
        <v>539</v>
      </c>
    </row>
    <row r="22" spans="2:26" ht="76" customHeight="1">
      <c r="B22" s="25" t="s">
        <v>115</v>
      </c>
      <c r="C22" s="507"/>
      <c r="D22" s="507"/>
      <c r="E22" s="507"/>
      <c r="F22" s="507"/>
      <c r="G22" s="507"/>
      <c r="H22" s="507"/>
      <c r="I22" s="507"/>
      <c r="J22" s="507"/>
      <c r="K22" s="507"/>
      <c r="L22" s="519"/>
      <c r="M22" s="519"/>
      <c r="N22" s="520"/>
      <c r="Z22" s="260" t="s">
        <v>540</v>
      </c>
    </row>
    <row r="23" spans="2:26" ht="27" customHeight="1">
      <c r="B23" s="27" t="s">
        <v>116</v>
      </c>
      <c r="C23" s="524"/>
      <c r="D23" s="524"/>
      <c r="E23" s="524"/>
      <c r="F23" s="524"/>
      <c r="G23" s="524"/>
      <c r="H23" s="524"/>
      <c r="I23" s="524"/>
      <c r="J23" s="524"/>
      <c r="K23" s="524"/>
      <c r="L23" s="543"/>
      <c r="M23" s="543"/>
      <c r="N23" s="544"/>
      <c r="Z23" s="260" t="s">
        <v>541</v>
      </c>
    </row>
    <row r="24" spans="2:26">
      <c r="B24" s="30"/>
      <c r="C24" s="11"/>
      <c r="D24" s="9"/>
      <c r="E24" s="9"/>
      <c r="F24" s="9"/>
      <c r="G24" s="9"/>
      <c r="H24" s="9"/>
      <c r="I24" s="9"/>
      <c r="J24" s="9"/>
      <c r="K24" s="9"/>
      <c r="Z24" s="260" t="s">
        <v>542</v>
      </c>
    </row>
    <row r="25" spans="2:26">
      <c r="B25" s="10"/>
      <c r="C25" s="10"/>
      <c r="D25" s="9"/>
      <c r="E25" s="9"/>
      <c r="F25" s="9"/>
      <c r="G25" s="9"/>
      <c r="H25" s="9"/>
      <c r="I25" s="9"/>
      <c r="J25" s="9"/>
      <c r="K25" s="9"/>
      <c r="Z25" s="260" t="s">
        <v>543</v>
      </c>
    </row>
    <row r="26" spans="2:26" ht="20">
      <c r="B26" s="13" t="s">
        <v>482</v>
      </c>
      <c r="C26" s="13"/>
      <c r="E26" s="246"/>
      <c r="Z26" s="260" t="s">
        <v>544</v>
      </c>
    </row>
    <row r="27" spans="2:26" s="34" customFormat="1" ht="36" customHeight="1">
      <c r="B27" s="53" t="s">
        <v>203</v>
      </c>
      <c r="C27" s="47"/>
      <c r="D27" s="47"/>
      <c r="E27" s="47"/>
      <c r="F27" s="47"/>
      <c r="G27" s="47"/>
      <c r="H27" s="47"/>
      <c r="I27" s="47"/>
      <c r="J27" s="47"/>
      <c r="K27" s="47"/>
      <c r="L27" s="47"/>
      <c r="M27" s="47"/>
      <c r="N27" s="48"/>
      <c r="Z27" s="260" t="s">
        <v>545</v>
      </c>
    </row>
    <row r="28" spans="2:26">
      <c r="B28" s="457" t="s">
        <v>204</v>
      </c>
      <c r="C28" s="460" t="s">
        <v>647</v>
      </c>
      <c r="D28" s="533" t="s">
        <v>621</v>
      </c>
      <c r="E28" s="534"/>
      <c r="F28" s="534"/>
      <c r="G28" s="534"/>
      <c r="H28" s="534"/>
      <c r="I28" s="534"/>
      <c r="J28" s="534"/>
      <c r="K28" s="534"/>
      <c r="L28" s="534"/>
      <c r="M28" s="534"/>
      <c r="N28" s="535"/>
      <c r="Z28" s="260" t="s">
        <v>546</v>
      </c>
    </row>
    <row r="29" spans="2:26">
      <c r="B29" s="458"/>
      <c r="C29" s="461"/>
      <c r="D29" s="536"/>
      <c r="E29" s="537"/>
      <c r="F29" s="537"/>
      <c r="G29" s="537"/>
      <c r="H29" s="537"/>
      <c r="I29" s="537"/>
      <c r="J29" s="537"/>
      <c r="K29" s="537"/>
      <c r="L29" s="537"/>
      <c r="M29" s="537"/>
      <c r="N29" s="538"/>
      <c r="Z29" s="260" t="s">
        <v>547</v>
      </c>
    </row>
    <row r="30" spans="2:26" ht="18" customHeight="1">
      <c r="B30" s="458"/>
      <c r="C30" s="461"/>
      <c r="D30" s="539" t="s">
        <v>205</v>
      </c>
      <c r="E30" s="540"/>
      <c r="F30" s="540"/>
      <c r="G30" s="540"/>
      <c r="H30" s="540"/>
      <c r="I30" s="540"/>
      <c r="J30" s="540"/>
      <c r="K30" s="540"/>
      <c r="L30" s="540"/>
      <c r="M30" s="540"/>
      <c r="N30" s="541"/>
      <c r="Z30" s="260" t="s">
        <v>548</v>
      </c>
    </row>
    <row r="31" spans="2:26">
      <c r="B31" s="458"/>
      <c r="C31" s="461"/>
      <c r="D31" s="542"/>
      <c r="E31" s="540"/>
      <c r="F31" s="540"/>
      <c r="G31" s="540"/>
      <c r="H31" s="540"/>
      <c r="I31" s="540"/>
      <c r="J31" s="540"/>
      <c r="K31" s="540"/>
      <c r="L31" s="540"/>
      <c r="M31" s="540"/>
      <c r="N31" s="541"/>
      <c r="Z31" s="260" t="s">
        <v>549</v>
      </c>
    </row>
    <row r="32" spans="2:26" ht="36" customHeight="1">
      <c r="B32" s="459"/>
      <c r="C32" s="462"/>
      <c r="D32" s="454" t="s">
        <v>568</v>
      </c>
      <c r="E32" s="455"/>
      <c r="F32" s="455"/>
      <c r="G32" s="455"/>
      <c r="H32" s="455"/>
      <c r="I32" s="455"/>
      <c r="J32" s="455"/>
      <c r="K32" s="455"/>
      <c r="L32" s="455"/>
      <c r="M32" s="455"/>
      <c r="N32" s="456"/>
      <c r="Z32" s="260" t="s">
        <v>550</v>
      </c>
    </row>
    <row r="33" spans="2:26" s="34" customFormat="1" ht="36" customHeight="1">
      <c r="B33" s="239" t="s">
        <v>566</v>
      </c>
      <c r="C33" s="47"/>
      <c r="D33" s="47"/>
      <c r="E33" s="47"/>
      <c r="F33" s="47"/>
      <c r="G33" s="47"/>
      <c r="H33" s="47"/>
      <c r="I33" s="47"/>
      <c r="J33" s="47"/>
      <c r="K33" s="47"/>
      <c r="L33" s="47"/>
      <c r="M33" s="47"/>
      <c r="N33" s="48"/>
      <c r="Z33" s="260" t="s">
        <v>551</v>
      </c>
    </row>
    <row r="34" spans="2:26">
      <c r="B34" s="57" t="s">
        <v>208</v>
      </c>
      <c r="C34" s="545" t="s">
        <v>210</v>
      </c>
      <c r="D34" s="546"/>
      <c r="E34" s="545" t="s">
        <v>214</v>
      </c>
      <c r="F34" s="546"/>
      <c r="G34" s="545" t="s">
        <v>209</v>
      </c>
      <c r="H34" s="549"/>
      <c r="I34" s="549"/>
      <c r="J34" s="549"/>
      <c r="K34" s="546"/>
      <c r="L34" s="545" t="s">
        <v>211</v>
      </c>
      <c r="M34" s="549"/>
      <c r="N34" s="550"/>
      <c r="Z34" s="260" t="s">
        <v>552</v>
      </c>
    </row>
    <row r="35" spans="2:26" ht="24.5" customHeight="1">
      <c r="B35" s="526" t="s">
        <v>212</v>
      </c>
      <c r="C35" s="466" t="s">
        <v>206</v>
      </c>
      <c r="D35" s="467"/>
      <c r="E35" s="470" t="s">
        <v>552</v>
      </c>
      <c r="F35" s="471"/>
      <c r="G35" s="474" t="s">
        <v>174</v>
      </c>
      <c r="H35" s="475"/>
      <c r="I35" s="475"/>
      <c r="J35" s="475"/>
      <c r="K35" s="476"/>
      <c r="L35" s="477">
        <v>16558000</v>
      </c>
      <c r="M35" s="478"/>
      <c r="N35" s="182" t="s">
        <v>213</v>
      </c>
      <c r="V35" s="54"/>
      <c r="Z35" s="260" t="s">
        <v>553</v>
      </c>
    </row>
    <row r="36" spans="2:26" ht="24.5" customHeight="1">
      <c r="B36" s="464"/>
      <c r="C36" s="468"/>
      <c r="D36" s="469"/>
      <c r="E36" s="472"/>
      <c r="F36" s="473"/>
      <c r="G36" s="479" t="s">
        <v>202</v>
      </c>
      <c r="H36" s="480"/>
      <c r="I36" s="480"/>
      <c r="J36" s="480"/>
      <c r="K36" s="481"/>
      <c r="L36" s="477">
        <v>-3756000</v>
      </c>
      <c r="M36" s="482"/>
      <c r="N36" s="229" t="s">
        <v>559</v>
      </c>
      <c r="V36" s="54"/>
      <c r="Z36" s="260" t="s">
        <v>554</v>
      </c>
    </row>
    <row r="37" spans="2:26" ht="24.75" customHeight="1">
      <c r="B37" s="464"/>
      <c r="C37" s="466" t="s">
        <v>207</v>
      </c>
      <c r="D37" s="467"/>
      <c r="E37" s="486" t="s">
        <v>579</v>
      </c>
      <c r="F37" s="471"/>
      <c r="G37" s="474" t="s">
        <v>174</v>
      </c>
      <c r="H37" s="475"/>
      <c r="I37" s="475"/>
      <c r="J37" s="475"/>
      <c r="K37" s="476"/>
      <c r="L37" s="477">
        <v>33300000</v>
      </c>
      <c r="M37" s="478"/>
      <c r="N37" s="244" t="s">
        <v>38</v>
      </c>
      <c r="Z37" s="260" t="s">
        <v>555</v>
      </c>
    </row>
    <row r="38" spans="2:26" ht="24.75" customHeight="1">
      <c r="B38" s="527"/>
      <c r="C38" s="468"/>
      <c r="D38" s="469"/>
      <c r="E38" s="472"/>
      <c r="F38" s="473"/>
      <c r="G38" s="479" t="s">
        <v>202</v>
      </c>
      <c r="H38" s="480"/>
      <c r="I38" s="480"/>
      <c r="J38" s="480"/>
      <c r="K38" s="481"/>
      <c r="L38" s="477">
        <v>511000</v>
      </c>
      <c r="M38" s="478"/>
      <c r="N38" s="230" t="s">
        <v>559</v>
      </c>
      <c r="Z38" s="260" t="s">
        <v>556</v>
      </c>
    </row>
    <row r="39" spans="2:26" ht="24.75" customHeight="1">
      <c r="B39" s="464" t="s">
        <v>474</v>
      </c>
      <c r="C39" s="466" t="s">
        <v>206</v>
      </c>
      <c r="D39" s="467"/>
      <c r="E39" s="470" t="s">
        <v>560</v>
      </c>
      <c r="F39" s="471"/>
      <c r="G39" s="474" t="s">
        <v>174</v>
      </c>
      <c r="H39" s="475"/>
      <c r="I39" s="475"/>
      <c r="J39" s="475"/>
      <c r="K39" s="476"/>
      <c r="L39" s="477"/>
      <c r="M39" s="478"/>
      <c r="N39" s="55" t="s">
        <v>213</v>
      </c>
      <c r="Z39" s="260" t="s">
        <v>557</v>
      </c>
    </row>
    <row r="40" spans="2:26" ht="24.75" customHeight="1">
      <c r="B40" s="528"/>
      <c r="C40" s="484"/>
      <c r="D40" s="485"/>
      <c r="E40" s="472"/>
      <c r="F40" s="473"/>
      <c r="G40" s="551" t="s">
        <v>202</v>
      </c>
      <c r="H40" s="551"/>
      <c r="I40" s="551"/>
      <c r="J40" s="551"/>
      <c r="K40" s="552"/>
      <c r="L40" s="547"/>
      <c r="M40" s="548"/>
      <c r="N40" s="237" t="s">
        <v>213</v>
      </c>
      <c r="Z40" s="260" t="s">
        <v>558</v>
      </c>
    </row>
    <row r="41" spans="2:26" ht="24.5" customHeight="1">
      <c r="B41" s="463" t="s">
        <v>565</v>
      </c>
      <c r="C41" s="466" t="s">
        <v>206</v>
      </c>
      <c r="D41" s="467"/>
      <c r="E41" s="470" t="s">
        <v>560</v>
      </c>
      <c r="F41" s="471"/>
      <c r="G41" s="474" t="s">
        <v>174</v>
      </c>
      <c r="H41" s="475"/>
      <c r="I41" s="475"/>
      <c r="J41" s="475"/>
      <c r="K41" s="476"/>
      <c r="L41" s="477"/>
      <c r="M41" s="478"/>
      <c r="N41" s="182" t="s">
        <v>38</v>
      </c>
      <c r="V41" s="54"/>
      <c r="Z41" s="260" t="s">
        <v>608</v>
      </c>
    </row>
    <row r="42" spans="2:26" ht="24.5" customHeight="1">
      <c r="B42" s="464"/>
      <c r="C42" s="468"/>
      <c r="D42" s="469"/>
      <c r="E42" s="472"/>
      <c r="F42" s="473"/>
      <c r="G42" s="479" t="s">
        <v>202</v>
      </c>
      <c r="H42" s="480"/>
      <c r="I42" s="480"/>
      <c r="J42" s="480"/>
      <c r="K42" s="481"/>
      <c r="L42" s="477"/>
      <c r="M42" s="482"/>
      <c r="N42" s="229" t="s">
        <v>38</v>
      </c>
      <c r="V42" s="54"/>
      <c r="Z42" s="260" t="s">
        <v>609</v>
      </c>
    </row>
    <row r="43" spans="2:26" ht="24.75" customHeight="1">
      <c r="B43" s="464"/>
      <c r="C43" s="483" t="s">
        <v>569</v>
      </c>
      <c r="D43" s="467"/>
      <c r="E43" s="486" t="s">
        <v>560</v>
      </c>
      <c r="F43" s="471"/>
      <c r="G43" s="474" t="s">
        <v>174</v>
      </c>
      <c r="H43" s="475"/>
      <c r="I43" s="475"/>
      <c r="J43" s="475"/>
      <c r="K43" s="476"/>
      <c r="L43" s="477"/>
      <c r="M43" s="478"/>
      <c r="N43" s="56" t="s">
        <v>38</v>
      </c>
      <c r="Z43" s="260" t="s">
        <v>610</v>
      </c>
    </row>
    <row r="44" spans="2:26" ht="24.75" customHeight="1">
      <c r="B44" s="465"/>
      <c r="C44" s="484"/>
      <c r="D44" s="485"/>
      <c r="E44" s="487"/>
      <c r="F44" s="488"/>
      <c r="G44" s="479" t="s">
        <v>202</v>
      </c>
      <c r="H44" s="480"/>
      <c r="I44" s="480"/>
      <c r="J44" s="480"/>
      <c r="K44" s="481"/>
      <c r="L44" s="452"/>
      <c r="M44" s="453"/>
      <c r="N44" s="238" t="s">
        <v>38</v>
      </c>
      <c r="Z44" s="260" t="s">
        <v>611</v>
      </c>
    </row>
    <row r="45" spans="2:26">
      <c r="C45" s="132"/>
      <c r="D45" s="132"/>
      <c r="E45" s="132"/>
      <c r="F45" s="132"/>
      <c r="L45" s="132"/>
      <c r="M45" s="132"/>
      <c r="N45" s="132"/>
      <c r="Z45" s="260" t="s">
        <v>612</v>
      </c>
    </row>
    <row r="46" spans="2:26">
      <c r="Z46" s="260" t="s">
        <v>613</v>
      </c>
    </row>
    <row r="47" spans="2:26">
      <c r="X47" s="228"/>
      <c r="Z47" s="260" t="s">
        <v>614</v>
      </c>
    </row>
    <row r="48" spans="2:26">
      <c r="Z48" s="260" t="s">
        <v>615</v>
      </c>
    </row>
    <row r="49" spans="26:26">
      <c r="Z49" s="260" t="s">
        <v>616</v>
      </c>
    </row>
    <row r="50" spans="26:26">
      <c r="Z50" s="260" t="s">
        <v>617</v>
      </c>
    </row>
    <row r="51" spans="26:26">
      <c r="Z51" s="260" t="s">
        <v>618</v>
      </c>
    </row>
    <row r="52" spans="26:26">
      <c r="Z52" s="260" t="s">
        <v>619</v>
      </c>
    </row>
  </sheetData>
  <sheetProtection algorithmName="SHA-512" hashValue="R1SSecslsNns5akwJXLf3q9MJo5xpSDAqDOnJyuRZMg0DJMMVXhh0U5FTVpWSw6A6aXhOo6e7gzNlHBoOJQUEw==" saltValue="sGXNK4guL+D9ObsK8t2vbQ==" spinCount="100000" sheet="1" formatCells="0" autoFilter="0"/>
  <mergeCells count="99">
    <mergeCell ref="L39:M39"/>
    <mergeCell ref="L40:M40"/>
    <mergeCell ref="G34:K34"/>
    <mergeCell ref="L34:N34"/>
    <mergeCell ref="L36:M36"/>
    <mergeCell ref="L38:M38"/>
    <mergeCell ref="G36:K36"/>
    <mergeCell ref="G38:K38"/>
    <mergeCell ref="G40:K40"/>
    <mergeCell ref="G35:K35"/>
    <mergeCell ref="G37:K37"/>
    <mergeCell ref="G39:K39"/>
    <mergeCell ref="E34:F34"/>
    <mergeCell ref="C35:D36"/>
    <mergeCell ref="E35:F36"/>
    <mergeCell ref="E37:F38"/>
    <mergeCell ref="L35:M35"/>
    <mergeCell ref="L37:M37"/>
    <mergeCell ref="B35:B38"/>
    <mergeCell ref="B39:B40"/>
    <mergeCell ref="C39:D40"/>
    <mergeCell ref="E39:F40"/>
    <mergeCell ref="L19:N19"/>
    <mergeCell ref="L20:N20"/>
    <mergeCell ref="L21:N21"/>
    <mergeCell ref="D28:N29"/>
    <mergeCell ref="D30:N31"/>
    <mergeCell ref="L22:N22"/>
    <mergeCell ref="L23:N23"/>
    <mergeCell ref="C22:E22"/>
    <mergeCell ref="C23:E23"/>
    <mergeCell ref="F22:H22"/>
    <mergeCell ref="C34:D34"/>
    <mergeCell ref="C37:D38"/>
    <mergeCell ref="F23:H23"/>
    <mergeCell ref="I22:K22"/>
    <mergeCell ref="I23:K23"/>
    <mergeCell ref="C20:E20"/>
    <mergeCell ref="L15:N15"/>
    <mergeCell ref="I17:K17"/>
    <mergeCell ref="I18:K18"/>
    <mergeCell ref="C16:E16"/>
    <mergeCell ref="F16:H16"/>
    <mergeCell ref="D9:F9"/>
    <mergeCell ref="D10:F10"/>
    <mergeCell ref="L17:N17"/>
    <mergeCell ref="L18:N18"/>
    <mergeCell ref="C21:E21"/>
    <mergeCell ref="I20:K20"/>
    <mergeCell ref="F20:H20"/>
    <mergeCell ref="F21:H21"/>
    <mergeCell ref="I21:K21"/>
    <mergeCell ref="C19:E19"/>
    <mergeCell ref="I19:K19"/>
    <mergeCell ref="I16:K16"/>
    <mergeCell ref="C17:E17"/>
    <mergeCell ref="F17:H17"/>
    <mergeCell ref="F18:H18"/>
    <mergeCell ref="F19:H19"/>
    <mergeCell ref="G7:I7"/>
    <mergeCell ref="G8:I8"/>
    <mergeCell ref="G9:I9"/>
    <mergeCell ref="G10:I10"/>
    <mergeCell ref="C18:E18"/>
    <mergeCell ref="B7:C7"/>
    <mergeCell ref="B8:C8"/>
    <mergeCell ref="B9:C9"/>
    <mergeCell ref="B10:C10"/>
    <mergeCell ref="D7:F7"/>
    <mergeCell ref="D8:F8"/>
    <mergeCell ref="C15:E15"/>
    <mergeCell ref="B14:N14"/>
    <mergeCell ref="L16:N16"/>
    <mergeCell ref="F15:H15"/>
    <mergeCell ref="I15:K15"/>
    <mergeCell ref="B6:C6"/>
    <mergeCell ref="B2:K2"/>
    <mergeCell ref="L2:N2"/>
    <mergeCell ref="B3:K3"/>
    <mergeCell ref="L3:N3"/>
    <mergeCell ref="D6:F6"/>
    <mergeCell ref="J6:K6"/>
    <mergeCell ref="G6:I6"/>
    <mergeCell ref="L44:M44"/>
    <mergeCell ref="D32:N32"/>
    <mergeCell ref="B28:B32"/>
    <mergeCell ref="C28:C32"/>
    <mergeCell ref="B41:B44"/>
    <mergeCell ref="C41:D42"/>
    <mergeCell ref="E41:F42"/>
    <mergeCell ref="G41:K41"/>
    <mergeCell ref="L41:M41"/>
    <mergeCell ref="G42:K42"/>
    <mergeCell ref="L42:M42"/>
    <mergeCell ref="C43:D44"/>
    <mergeCell ref="E43:F44"/>
    <mergeCell ref="G43:K43"/>
    <mergeCell ref="L43:M43"/>
    <mergeCell ref="G44:K44"/>
  </mergeCells>
  <phoneticPr fontId="41"/>
  <conditionalFormatting sqref="B34:N44">
    <cfRule type="expression" dxfId="5" priority="1">
      <formula>$C$28="(選択)"</formula>
    </cfRule>
  </conditionalFormatting>
  <conditionalFormatting sqref="B35:N38">
    <cfRule type="expression" dxfId="4" priority="3">
      <formula>$C$28="ｂ"</formula>
    </cfRule>
  </conditionalFormatting>
  <conditionalFormatting sqref="B35:N40">
    <cfRule type="expression" dxfId="3" priority="2">
      <formula>$C$28="ｃ"</formula>
    </cfRule>
  </conditionalFormatting>
  <conditionalFormatting sqref="B39:N44">
    <cfRule type="expression" dxfId="2" priority="11">
      <formula>$C$28="ａ"</formula>
    </cfRule>
  </conditionalFormatting>
  <conditionalFormatting sqref="B41:N44">
    <cfRule type="expression" dxfId="1" priority="6">
      <formula>$C$28="ｂ"</formula>
    </cfRule>
  </conditionalFormatting>
  <dataValidations count="9">
    <dataValidation type="list" allowBlank="1" showInputMessage="1" showErrorMessage="1" sqref="L2:N3" xr:uid="{00000000-0002-0000-0300-000000000000}">
      <formula1>"(選択),はい,いいえ"</formula1>
    </dataValidation>
    <dataValidation type="list" allowBlank="1" showInputMessage="1" showErrorMessage="1" sqref="L7:M10" xr:uid="{00000000-0002-0000-0300-000001000000}">
      <formula1>"(選択),有,無"</formula1>
    </dataValidation>
    <dataValidation type="list" allowBlank="1" showInputMessage="1" showErrorMessage="1" sqref="N7:N10" xr:uid="{00000000-0002-0000-0300-000002000000}">
      <formula1>"(選択),交付済,実施中,申請中,申請予定"</formula1>
    </dataValidation>
    <dataValidation type="list" allowBlank="1" showInputMessage="1" showErrorMessage="1" sqref="C17:N17" xr:uid="{00000000-0002-0000-0300-000003000000}">
      <formula1>"(選択),実施中,申請中,申請予定"</formula1>
    </dataValidation>
    <dataValidation type="list" allowBlank="1" showInputMessage="1" showErrorMessage="1" sqref="G40:K40 G36:K36 G38:K38 G42:K42 G44:K44" xr:uid="{00000000-0002-0000-0300-000004000000}">
      <formula1>"(選択),法人:営業利益,個人事業主:収支内訳書の所得金額（一般㉑、農業⑰、不動産⑮）,個人事業主:青色申告決算書の差引金額（一般㉝、農業㊱、不動産⑲）"</formula1>
    </dataValidation>
    <dataValidation type="whole" operator="greaterThanOrEqual" allowBlank="1" showInputMessage="1" showErrorMessage="1" errorTitle="エラー" error="整数を入力してください。単位は「円」です。マイナスの場合は「-(金額)」と入力願います。" sqref="L35:M44" xr:uid="{00000000-0002-0000-0300-000005000000}">
      <formula1>-10000000000000000</formula1>
    </dataValidation>
    <dataValidation type="list" allowBlank="1" showInputMessage="1" showErrorMessage="1" sqref="C28:C32" xr:uid="{00000000-0002-0000-0300-000006000000}">
      <formula1>"(選択),ａ,ｂ,ｃ"</formula1>
    </dataValidation>
    <dataValidation type="list" allowBlank="1" showInputMessage="1" showErrorMessage="1" sqref="E35:F42" xr:uid="{00000000-0002-0000-0300-000007000000}">
      <formula1>$Z$1:$Z$40</formula1>
    </dataValidation>
    <dataValidation type="list" allowBlank="1" showInputMessage="1" showErrorMessage="1" sqref="E43:F44" xr:uid="{00000000-0002-0000-0300-000008000000}">
      <formula1>$Z$1:$Z$52</formula1>
    </dataValidation>
  </dataValidation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sheetPr>
  <dimension ref="A1:X35"/>
  <sheetViews>
    <sheetView view="pageBreakPreview" zoomScale="189" zoomScaleNormal="100" zoomScaleSheetLayoutView="189" workbookViewId="0">
      <selection activeCell="C6" sqref="C6:K10"/>
    </sheetView>
  </sheetViews>
  <sheetFormatPr baseColWidth="10" defaultColWidth="8.5" defaultRowHeight="18"/>
  <cols>
    <col min="1" max="1" width="0.5" style="34" customWidth="1"/>
    <col min="2" max="20" width="4.5" style="34" customWidth="1"/>
    <col min="21" max="21" width="0.83203125" style="34" customWidth="1"/>
    <col min="22" max="16384" width="8.5" style="34"/>
  </cols>
  <sheetData>
    <row r="1" spans="1:24" s="31" customFormat="1" ht="18" customHeight="1"/>
    <row r="2" spans="1:24" s="33" customFormat="1" ht="29" customHeight="1">
      <c r="A2" s="32"/>
      <c r="B2" s="604" t="s">
        <v>175</v>
      </c>
      <c r="C2" s="604"/>
      <c r="D2" s="604"/>
      <c r="E2" s="604"/>
      <c r="F2" s="604"/>
      <c r="G2" s="604"/>
      <c r="H2" s="604"/>
      <c r="I2" s="604"/>
      <c r="J2" s="604"/>
      <c r="K2" s="604"/>
      <c r="L2" s="604"/>
      <c r="M2" s="604"/>
      <c r="N2" s="604"/>
      <c r="O2" s="604"/>
      <c r="P2" s="604"/>
      <c r="Q2" s="604"/>
      <c r="R2" s="604"/>
      <c r="S2" s="604"/>
      <c r="T2" s="604"/>
      <c r="U2" s="604"/>
    </row>
    <row r="3" spans="1:24" s="41" customFormat="1" ht="32.25" customHeight="1">
      <c r="B3" s="39" t="s">
        <v>220</v>
      </c>
      <c r="C3" s="40"/>
      <c r="D3" s="40"/>
      <c r="E3" s="40"/>
      <c r="F3" s="40"/>
      <c r="G3" s="40"/>
      <c r="H3" s="40"/>
      <c r="I3" s="40"/>
      <c r="J3" s="40"/>
      <c r="K3" s="40"/>
      <c r="L3" s="40"/>
      <c r="M3" s="40"/>
      <c r="N3" s="40"/>
      <c r="O3" s="40"/>
      <c r="P3" s="40"/>
      <c r="Q3" s="40"/>
      <c r="R3" s="40"/>
      <c r="S3" s="40"/>
      <c r="T3" s="40"/>
      <c r="U3" s="40"/>
      <c r="V3" s="40"/>
      <c r="W3" s="40"/>
      <c r="X3" s="40"/>
    </row>
    <row r="4" spans="1:24" s="41" customFormat="1" ht="30" customHeight="1">
      <c r="B4" s="42" t="s">
        <v>190</v>
      </c>
      <c r="C4" s="43"/>
      <c r="D4" s="60"/>
      <c r="E4" s="43"/>
      <c r="F4" s="43"/>
      <c r="G4" s="43"/>
      <c r="H4" s="43"/>
      <c r="I4" s="43"/>
      <c r="J4" s="43"/>
      <c r="K4" s="43"/>
      <c r="L4" s="60"/>
      <c r="M4" s="60"/>
      <c r="N4" s="43"/>
      <c r="O4" s="43"/>
      <c r="P4" s="43"/>
      <c r="Q4" s="43"/>
      <c r="R4" s="43"/>
      <c r="S4" s="43"/>
      <c r="T4" s="44"/>
      <c r="U4" s="40"/>
    </row>
    <row r="5" spans="1:24" s="41" customFormat="1" ht="18" customHeight="1">
      <c r="B5" s="598" t="s">
        <v>129</v>
      </c>
      <c r="C5" s="609" t="s">
        <v>130</v>
      </c>
      <c r="D5" s="610"/>
      <c r="E5" s="610"/>
      <c r="F5" s="610"/>
      <c r="G5" s="610"/>
      <c r="H5" s="610"/>
      <c r="I5" s="610"/>
      <c r="J5" s="610"/>
      <c r="K5" s="611"/>
      <c r="L5" s="612" t="s">
        <v>134</v>
      </c>
      <c r="M5" s="613"/>
      <c r="N5" s="613"/>
      <c r="O5" s="613"/>
      <c r="P5" s="613"/>
      <c r="Q5" s="613"/>
      <c r="R5" s="613"/>
      <c r="S5" s="613"/>
      <c r="T5" s="614"/>
      <c r="U5" s="45"/>
    </row>
    <row r="6" spans="1:24" s="41" customFormat="1">
      <c r="B6" s="599"/>
      <c r="C6" s="601" t="s">
        <v>654</v>
      </c>
      <c r="D6" s="602"/>
      <c r="E6" s="602"/>
      <c r="F6" s="602"/>
      <c r="G6" s="602"/>
      <c r="H6" s="602"/>
      <c r="I6" s="602"/>
      <c r="J6" s="602"/>
      <c r="K6" s="603"/>
      <c r="L6" s="601" t="s">
        <v>655</v>
      </c>
      <c r="M6" s="602"/>
      <c r="N6" s="602"/>
      <c r="O6" s="602"/>
      <c r="P6" s="602"/>
      <c r="Q6" s="602"/>
      <c r="R6" s="602"/>
      <c r="S6" s="602"/>
      <c r="T6" s="603"/>
      <c r="U6" s="46"/>
    </row>
    <row r="7" spans="1:24" s="41" customFormat="1">
      <c r="B7" s="599"/>
      <c r="C7" s="592"/>
      <c r="D7" s="593"/>
      <c r="E7" s="593"/>
      <c r="F7" s="593"/>
      <c r="G7" s="593"/>
      <c r="H7" s="593"/>
      <c r="I7" s="593"/>
      <c r="J7" s="593"/>
      <c r="K7" s="594"/>
      <c r="L7" s="592"/>
      <c r="M7" s="593"/>
      <c r="N7" s="593"/>
      <c r="O7" s="593"/>
      <c r="P7" s="593"/>
      <c r="Q7" s="593"/>
      <c r="R7" s="593"/>
      <c r="S7" s="593"/>
      <c r="T7" s="594"/>
      <c r="U7" s="46"/>
    </row>
    <row r="8" spans="1:24" s="41" customFormat="1">
      <c r="B8" s="599"/>
      <c r="C8" s="592"/>
      <c r="D8" s="593"/>
      <c r="E8" s="593"/>
      <c r="F8" s="593"/>
      <c r="G8" s="593"/>
      <c r="H8" s="593"/>
      <c r="I8" s="593"/>
      <c r="J8" s="593"/>
      <c r="K8" s="594"/>
      <c r="L8" s="592"/>
      <c r="M8" s="593"/>
      <c r="N8" s="593"/>
      <c r="O8" s="593"/>
      <c r="P8" s="593"/>
      <c r="Q8" s="593"/>
      <c r="R8" s="593"/>
      <c r="S8" s="593"/>
      <c r="T8" s="594"/>
      <c r="U8" s="46"/>
    </row>
    <row r="9" spans="1:24" s="41" customFormat="1">
      <c r="B9" s="599"/>
      <c r="C9" s="592"/>
      <c r="D9" s="593"/>
      <c r="E9" s="593"/>
      <c r="F9" s="593"/>
      <c r="G9" s="593"/>
      <c r="H9" s="593"/>
      <c r="I9" s="593"/>
      <c r="J9" s="593"/>
      <c r="K9" s="594"/>
      <c r="L9" s="592"/>
      <c r="M9" s="593"/>
      <c r="N9" s="593"/>
      <c r="O9" s="593"/>
      <c r="P9" s="593"/>
      <c r="Q9" s="593"/>
      <c r="R9" s="593"/>
      <c r="S9" s="593"/>
      <c r="T9" s="594"/>
      <c r="U9" s="46"/>
    </row>
    <row r="10" spans="1:24" s="41" customFormat="1">
      <c r="B10" s="600"/>
      <c r="C10" s="595"/>
      <c r="D10" s="596"/>
      <c r="E10" s="596"/>
      <c r="F10" s="596"/>
      <c r="G10" s="596"/>
      <c r="H10" s="596"/>
      <c r="I10" s="596"/>
      <c r="J10" s="596"/>
      <c r="K10" s="597"/>
      <c r="L10" s="595"/>
      <c r="M10" s="596"/>
      <c r="N10" s="596"/>
      <c r="O10" s="596"/>
      <c r="P10" s="596"/>
      <c r="Q10" s="596"/>
      <c r="R10" s="596"/>
      <c r="S10" s="596"/>
      <c r="T10" s="597"/>
      <c r="U10" s="46"/>
    </row>
    <row r="11" spans="1:24" s="41" customFormat="1" ht="18" customHeight="1">
      <c r="B11" s="598" t="s">
        <v>131</v>
      </c>
      <c r="C11" s="615" t="s">
        <v>132</v>
      </c>
      <c r="D11" s="616"/>
      <c r="E11" s="616"/>
      <c r="F11" s="616"/>
      <c r="G11" s="616"/>
      <c r="H11" s="616"/>
      <c r="I11" s="616"/>
      <c r="J11" s="616"/>
      <c r="K11" s="617"/>
      <c r="L11" s="612" t="s">
        <v>133</v>
      </c>
      <c r="M11" s="613"/>
      <c r="N11" s="613"/>
      <c r="O11" s="613"/>
      <c r="P11" s="613"/>
      <c r="Q11" s="613"/>
      <c r="R11" s="613"/>
      <c r="S11" s="613"/>
      <c r="T11" s="614"/>
      <c r="U11" s="45"/>
    </row>
    <row r="12" spans="1:24" s="41" customFormat="1">
      <c r="B12" s="599"/>
      <c r="C12" s="601" t="s">
        <v>656</v>
      </c>
      <c r="D12" s="602"/>
      <c r="E12" s="602"/>
      <c r="F12" s="602"/>
      <c r="G12" s="602"/>
      <c r="H12" s="602"/>
      <c r="I12" s="602"/>
      <c r="J12" s="602"/>
      <c r="K12" s="603"/>
      <c r="L12" s="608" t="s">
        <v>657</v>
      </c>
      <c r="M12" s="602"/>
      <c r="N12" s="602"/>
      <c r="O12" s="602"/>
      <c r="P12" s="602"/>
      <c r="Q12" s="602"/>
      <c r="R12" s="602"/>
      <c r="S12" s="602"/>
      <c r="T12" s="603"/>
      <c r="U12" s="45"/>
    </row>
    <row r="13" spans="1:24" s="41" customFormat="1">
      <c r="B13" s="599"/>
      <c r="C13" s="592"/>
      <c r="D13" s="593"/>
      <c r="E13" s="593"/>
      <c r="F13" s="593"/>
      <c r="G13" s="593"/>
      <c r="H13" s="593"/>
      <c r="I13" s="593"/>
      <c r="J13" s="593"/>
      <c r="K13" s="594"/>
      <c r="L13" s="592"/>
      <c r="M13" s="593"/>
      <c r="N13" s="593"/>
      <c r="O13" s="593"/>
      <c r="P13" s="593"/>
      <c r="Q13" s="593"/>
      <c r="R13" s="593"/>
      <c r="S13" s="593"/>
      <c r="T13" s="594"/>
      <c r="U13" s="45"/>
    </row>
    <row r="14" spans="1:24" s="41" customFormat="1">
      <c r="B14" s="599"/>
      <c r="C14" s="592"/>
      <c r="D14" s="593"/>
      <c r="E14" s="593"/>
      <c r="F14" s="593"/>
      <c r="G14" s="593"/>
      <c r="H14" s="593"/>
      <c r="I14" s="593"/>
      <c r="J14" s="593"/>
      <c r="K14" s="594"/>
      <c r="L14" s="592"/>
      <c r="M14" s="593"/>
      <c r="N14" s="593"/>
      <c r="O14" s="593"/>
      <c r="P14" s="593"/>
      <c r="Q14" s="593"/>
      <c r="R14" s="593"/>
      <c r="S14" s="593"/>
      <c r="T14" s="594"/>
      <c r="U14" s="45"/>
    </row>
    <row r="15" spans="1:24" s="41" customFormat="1">
      <c r="B15" s="599"/>
      <c r="C15" s="592"/>
      <c r="D15" s="593"/>
      <c r="E15" s="593"/>
      <c r="F15" s="593"/>
      <c r="G15" s="593"/>
      <c r="H15" s="593"/>
      <c r="I15" s="593"/>
      <c r="J15" s="593"/>
      <c r="K15" s="594"/>
      <c r="L15" s="592"/>
      <c r="M15" s="593"/>
      <c r="N15" s="593"/>
      <c r="O15" s="593"/>
      <c r="P15" s="593"/>
      <c r="Q15" s="593"/>
      <c r="R15" s="593"/>
      <c r="S15" s="593"/>
      <c r="T15" s="594"/>
      <c r="U15" s="45"/>
    </row>
    <row r="16" spans="1:24" s="41" customFormat="1">
      <c r="B16" s="600"/>
      <c r="C16" s="595"/>
      <c r="D16" s="596"/>
      <c r="E16" s="596"/>
      <c r="F16" s="596"/>
      <c r="G16" s="596"/>
      <c r="H16" s="596"/>
      <c r="I16" s="596"/>
      <c r="J16" s="596"/>
      <c r="K16" s="597"/>
      <c r="L16" s="595"/>
      <c r="M16" s="596"/>
      <c r="N16" s="596"/>
      <c r="O16" s="596"/>
      <c r="P16" s="596"/>
      <c r="Q16" s="596"/>
      <c r="R16" s="596"/>
      <c r="S16" s="596"/>
      <c r="T16" s="597"/>
      <c r="U16" s="45"/>
    </row>
    <row r="17" spans="2:21" ht="30" customHeight="1">
      <c r="B17" s="133" t="s">
        <v>415</v>
      </c>
      <c r="C17" s="134"/>
      <c r="D17" s="134"/>
      <c r="E17" s="134"/>
      <c r="F17" s="134"/>
      <c r="G17" s="134"/>
      <c r="H17" s="134"/>
      <c r="I17" s="134"/>
      <c r="J17" s="134"/>
      <c r="K17" s="134"/>
      <c r="L17" s="134"/>
      <c r="M17" s="134"/>
      <c r="N17" s="134"/>
      <c r="O17" s="134"/>
      <c r="P17" s="134"/>
      <c r="Q17" s="134"/>
      <c r="R17" s="134"/>
      <c r="S17" s="134"/>
      <c r="T17" s="135"/>
    </row>
    <row r="18" spans="2:21" s="41" customFormat="1" ht="24.75" customHeight="1">
      <c r="B18" s="589" t="s">
        <v>658</v>
      </c>
      <c r="C18" s="590"/>
      <c r="D18" s="590"/>
      <c r="E18" s="590"/>
      <c r="F18" s="590"/>
      <c r="G18" s="590"/>
      <c r="H18" s="590"/>
      <c r="I18" s="590"/>
      <c r="J18" s="590"/>
      <c r="K18" s="590"/>
      <c r="L18" s="590"/>
      <c r="M18" s="590"/>
      <c r="N18" s="590"/>
      <c r="O18" s="590"/>
      <c r="P18" s="590"/>
      <c r="Q18" s="590"/>
      <c r="R18" s="590"/>
      <c r="S18" s="590"/>
      <c r="T18" s="591"/>
    </row>
    <row r="19" spans="2:21" s="41" customFormat="1" ht="24.75" customHeight="1">
      <c r="B19" s="592"/>
      <c r="C19" s="593"/>
      <c r="D19" s="593"/>
      <c r="E19" s="593"/>
      <c r="F19" s="593"/>
      <c r="G19" s="593"/>
      <c r="H19" s="593"/>
      <c r="I19" s="593"/>
      <c r="J19" s="593"/>
      <c r="K19" s="593"/>
      <c r="L19" s="593"/>
      <c r="M19" s="593"/>
      <c r="N19" s="593"/>
      <c r="O19" s="593"/>
      <c r="P19" s="593"/>
      <c r="Q19" s="593"/>
      <c r="R19" s="593"/>
      <c r="S19" s="593"/>
      <c r="T19" s="594"/>
    </row>
    <row r="20" spans="2:21" s="41" customFormat="1" ht="24.75" customHeight="1">
      <c r="B20" s="592"/>
      <c r="C20" s="593"/>
      <c r="D20" s="593"/>
      <c r="E20" s="593"/>
      <c r="F20" s="593"/>
      <c r="G20" s="593"/>
      <c r="H20" s="593"/>
      <c r="I20" s="593"/>
      <c r="J20" s="593"/>
      <c r="K20" s="593"/>
      <c r="L20" s="593"/>
      <c r="M20" s="593"/>
      <c r="N20" s="593"/>
      <c r="O20" s="593"/>
      <c r="P20" s="593"/>
      <c r="Q20" s="593"/>
      <c r="R20" s="593"/>
      <c r="S20" s="593"/>
      <c r="T20" s="594"/>
    </row>
    <row r="21" spans="2:21" s="41" customFormat="1" ht="24.75" customHeight="1">
      <c r="B21" s="595"/>
      <c r="C21" s="596"/>
      <c r="D21" s="596"/>
      <c r="E21" s="596"/>
      <c r="F21" s="596"/>
      <c r="G21" s="596"/>
      <c r="H21" s="596"/>
      <c r="I21" s="596"/>
      <c r="J21" s="596"/>
      <c r="K21" s="596"/>
      <c r="L21" s="596"/>
      <c r="M21" s="596"/>
      <c r="N21" s="596"/>
      <c r="O21" s="596"/>
      <c r="P21" s="596"/>
      <c r="Q21" s="596"/>
      <c r="R21" s="596"/>
      <c r="S21" s="596"/>
      <c r="T21" s="597"/>
    </row>
    <row r="22" spans="2:21" s="41" customFormat="1" ht="24.75" customHeight="1">
      <c r="B22" s="61"/>
      <c r="C22" s="49"/>
      <c r="D22" s="49"/>
      <c r="E22" s="49"/>
      <c r="F22" s="49"/>
      <c r="G22" s="49"/>
      <c r="H22" s="49"/>
      <c r="I22" s="49"/>
      <c r="J22" s="49"/>
      <c r="K22" s="49"/>
      <c r="L22" s="49"/>
      <c r="M22" s="49"/>
      <c r="N22" s="49"/>
      <c r="O22" s="49"/>
      <c r="P22" s="49"/>
      <c r="Q22" s="49"/>
      <c r="R22" s="49"/>
      <c r="S22" s="49"/>
      <c r="T22" s="49"/>
    </row>
    <row r="23" spans="2:21" ht="36" customHeight="1">
      <c r="B23" s="605" t="s">
        <v>416</v>
      </c>
      <c r="C23" s="606"/>
      <c r="D23" s="606"/>
      <c r="E23" s="606"/>
      <c r="F23" s="606"/>
      <c r="G23" s="606"/>
      <c r="H23" s="606"/>
      <c r="I23" s="606"/>
      <c r="J23" s="606"/>
      <c r="K23" s="606"/>
      <c r="L23" s="606"/>
      <c r="M23" s="606"/>
      <c r="N23" s="606"/>
      <c r="O23" s="606"/>
      <c r="P23" s="606"/>
      <c r="Q23" s="606"/>
      <c r="R23" s="606"/>
      <c r="S23" s="606"/>
      <c r="T23" s="607"/>
      <c r="U23" s="38"/>
    </row>
    <row r="24" spans="2:21" ht="24.75" customHeight="1">
      <c r="B24" s="553" t="s">
        <v>178</v>
      </c>
      <c r="C24" s="554"/>
      <c r="D24" s="554"/>
      <c r="E24" s="555"/>
      <c r="F24" s="562" t="s">
        <v>660</v>
      </c>
      <c r="G24" s="563"/>
      <c r="H24" s="563"/>
      <c r="I24" s="563"/>
      <c r="J24" s="563"/>
      <c r="K24" s="563"/>
      <c r="L24" s="563"/>
      <c r="M24" s="563"/>
      <c r="N24" s="563"/>
      <c r="O24" s="563"/>
      <c r="P24" s="563"/>
      <c r="Q24" s="563"/>
      <c r="R24" s="563"/>
      <c r="S24" s="563"/>
      <c r="T24" s="564"/>
      <c r="U24" s="37"/>
    </row>
    <row r="25" spans="2:21" ht="24.75" customHeight="1">
      <c r="B25" s="556"/>
      <c r="C25" s="557"/>
      <c r="D25" s="557"/>
      <c r="E25" s="558"/>
      <c r="F25" s="565"/>
      <c r="G25" s="566"/>
      <c r="H25" s="566"/>
      <c r="I25" s="566"/>
      <c r="J25" s="566"/>
      <c r="K25" s="566"/>
      <c r="L25" s="566"/>
      <c r="M25" s="566"/>
      <c r="N25" s="566"/>
      <c r="O25" s="566"/>
      <c r="P25" s="566"/>
      <c r="Q25" s="566"/>
      <c r="R25" s="566"/>
      <c r="S25" s="566"/>
      <c r="T25" s="567"/>
      <c r="U25" s="37"/>
    </row>
    <row r="26" spans="2:21" ht="24.75" customHeight="1">
      <c r="B26" s="556"/>
      <c r="C26" s="557"/>
      <c r="D26" s="557"/>
      <c r="E26" s="558"/>
      <c r="F26" s="565"/>
      <c r="G26" s="566"/>
      <c r="H26" s="566"/>
      <c r="I26" s="566"/>
      <c r="J26" s="566"/>
      <c r="K26" s="566"/>
      <c r="L26" s="566"/>
      <c r="M26" s="566"/>
      <c r="N26" s="566"/>
      <c r="O26" s="566"/>
      <c r="P26" s="566"/>
      <c r="Q26" s="566"/>
      <c r="R26" s="566"/>
      <c r="S26" s="566"/>
      <c r="T26" s="567"/>
      <c r="U26" s="37"/>
    </row>
    <row r="27" spans="2:21" ht="24.75" customHeight="1">
      <c r="B27" s="556"/>
      <c r="C27" s="557"/>
      <c r="D27" s="557"/>
      <c r="E27" s="558"/>
      <c r="F27" s="565"/>
      <c r="G27" s="566"/>
      <c r="H27" s="566"/>
      <c r="I27" s="566"/>
      <c r="J27" s="566"/>
      <c r="K27" s="566"/>
      <c r="L27" s="566"/>
      <c r="M27" s="566"/>
      <c r="N27" s="566"/>
      <c r="O27" s="566"/>
      <c r="P27" s="566"/>
      <c r="Q27" s="566"/>
      <c r="R27" s="566"/>
      <c r="S27" s="566"/>
      <c r="T27" s="567"/>
      <c r="U27" s="37"/>
    </row>
    <row r="28" spans="2:21" ht="24.75" customHeight="1">
      <c r="B28" s="556"/>
      <c r="C28" s="557"/>
      <c r="D28" s="557"/>
      <c r="E28" s="558"/>
      <c r="F28" s="565"/>
      <c r="G28" s="566"/>
      <c r="H28" s="566"/>
      <c r="I28" s="566"/>
      <c r="J28" s="566"/>
      <c r="K28" s="566"/>
      <c r="L28" s="566"/>
      <c r="M28" s="566"/>
      <c r="N28" s="566"/>
      <c r="O28" s="566"/>
      <c r="P28" s="566"/>
      <c r="Q28" s="566"/>
      <c r="R28" s="566"/>
      <c r="S28" s="566"/>
      <c r="T28" s="567"/>
      <c r="U28" s="37"/>
    </row>
    <row r="29" spans="2:21" ht="24.75" customHeight="1">
      <c r="B29" s="556"/>
      <c r="C29" s="557"/>
      <c r="D29" s="557"/>
      <c r="E29" s="558"/>
      <c r="F29" s="565"/>
      <c r="G29" s="566"/>
      <c r="H29" s="566"/>
      <c r="I29" s="566"/>
      <c r="J29" s="566"/>
      <c r="K29" s="566"/>
      <c r="L29" s="566"/>
      <c r="M29" s="566"/>
      <c r="N29" s="566"/>
      <c r="O29" s="566"/>
      <c r="P29" s="566"/>
      <c r="Q29" s="566"/>
      <c r="R29" s="566"/>
      <c r="S29" s="566"/>
      <c r="T29" s="567"/>
      <c r="U29" s="37"/>
    </row>
    <row r="30" spans="2:21" ht="24.75" customHeight="1">
      <c r="B30" s="556"/>
      <c r="C30" s="557"/>
      <c r="D30" s="557"/>
      <c r="E30" s="558"/>
      <c r="F30" s="565"/>
      <c r="G30" s="566"/>
      <c r="H30" s="566"/>
      <c r="I30" s="566"/>
      <c r="J30" s="566"/>
      <c r="K30" s="566"/>
      <c r="L30" s="566"/>
      <c r="M30" s="566"/>
      <c r="N30" s="566"/>
      <c r="O30" s="566"/>
      <c r="P30" s="566"/>
      <c r="Q30" s="566"/>
      <c r="R30" s="566"/>
      <c r="S30" s="566"/>
      <c r="T30" s="567"/>
      <c r="U30" s="37"/>
    </row>
    <row r="31" spans="2:21" ht="24.75" customHeight="1">
      <c r="B31" s="559"/>
      <c r="C31" s="560"/>
      <c r="D31" s="560"/>
      <c r="E31" s="561"/>
      <c r="F31" s="568"/>
      <c r="G31" s="569"/>
      <c r="H31" s="569"/>
      <c r="I31" s="569"/>
      <c r="J31" s="569"/>
      <c r="K31" s="569"/>
      <c r="L31" s="569"/>
      <c r="M31" s="569"/>
      <c r="N31" s="569"/>
      <c r="O31" s="569"/>
      <c r="P31" s="569"/>
      <c r="Q31" s="569"/>
      <c r="R31" s="569"/>
      <c r="S31" s="569"/>
      <c r="T31" s="570"/>
      <c r="U31" s="37"/>
    </row>
    <row r="32" spans="2:21" ht="45" customHeight="1">
      <c r="B32" s="571" t="s">
        <v>224</v>
      </c>
      <c r="C32" s="572"/>
      <c r="D32" s="572"/>
      <c r="E32" s="573"/>
      <c r="F32" s="580" t="s">
        <v>659</v>
      </c>
      <c r="G32" s="581"/>
      <c r="H32" s="581"/>
      <c r="I32" s="581"/>
      <c r="J32" s="581"/>
      <c r="K32" s="581"/>
      <c r="L32" s="581"/>
      <c r="M32" s="581"/>
      <c r="N32" s="581"/>
      <c r="O32" s="581"/>
      <c r="P32" s="581"/>
      <c r="Q32" s="581"/>
      <c r="R32" s="581"/>
      <c r="S32" s="581"/>
      <c r="T32" s="582"/>
      <c r="U32" s="37"/>
    </row>
    <row r="33" spans="2:21" ht="24.75" customHeight="1">
      <c r="B33" s="574"/>
      <c r="C33" s="575"/>
      <c r="D33" s="575"/>
      <c r="E33" s="576"/>
      <c r="F33" s="583"/>
      <c r="G33" s="584"/>
      <c r="H33" s="584"/>
      <c r="I33" s="584"/>
      <c r="J33" s="584"/>
      <c r="K33" s="584"/>
      <c r="L33" s="584"/>
      <c r="M33" s="584"/>
      <c r="N33" s="584"/>
      <c r="O33" s="584"/>
      <c r="P33" s="584"/>
      <c r="Q33" s="584"/>
      <c r="R33" s="584"/>
      <c r="S33" s="584"/>
      <c r="T33" s="585"/>
      <c r="U33" s="37"/>
    </row>
    <row r="34" spans="2:21" ht="24.75" customHeight="1">
      <c r="B34" s="574"/>
      <c r="C34" s="575"/>
      <c r="D34" s="575"/>
      <c r="E34" s="576"/>
      <c r="F34" s="583"/>
      <c r="G34" s="584"/>
      <c r="H34" s="584"/>
      <c r="I34" s="584"/>
      <c r="J34" s="584"/>
      <c r="K34" s="584"/>
      <c r="L34" s="584"/>
      <c r="M34" s="584"/>
      <c r="N34" s="584"/>
      <c r="O34" s="584"/>
      <c r="P34" s="584"/>
      <c r="Q34" s="584"/>
      <c r="R34" s="584"/>
      <c r="S34" s="584"/>
      <c r="T34" s="585"/>
      <c r="U34" s="37"/>
    </row>
    <row r="35" spans="2:21" ht="24.75" customHeight="1">
      <c r="B35" s="577"/>
      <c r="C35" s="578"/>
      <c r="D35" s="578"/>
      <c r="E35" s="579"/>
      <c r="F35" s="586"/>
      <c r="G35" s="587"/>
      <c r="H35" s="587"/>
      <c r="I35" s="587"/>
      <c r="J35" s="587"/>
      <c r="K35" s="587"/>
      <c r="L35" s="587"/>
      <c r="M35" s="587"/>
      <c r="N35" s="587"/>
      <c r="O35" s="587"/>
      <c r="P35" s="587"/>
      <c r="Q35" s="587"/>
      <c r="R35" s="587"/>
      <c r="S35" s="587"/>
      <c r="T35" s="588"/>
      <c r="U35" s="37"/>
    </row>
  </sheetData>
  <mergeCells count="17">
    <mergeCell ref="B5:B10"/>
    <mergeCell ref="B11:B16"/>
    <mergeCell ref="C6:K10"/>
    <mergeCell ref="B2:U2"/>
    <mergeCell ref="B23:T23"/>
    <mergeCell ref="L6:T10"/>
    <mergeCell ref="C12:K16"/>
    <mergeCell ref="L12:T16"/>
    <mergeCell ref="C5:K5"/>
    <mergeCell ref="L5:T5"/>
    <mergeCell ref="C11:K11"/>
    <mergeCell ref="L11:T11"/>
    <mergeCell ref="B24:E31"/>
    <mergeCell ref="F24:T31"/>
    <mergeCell ref="B32:E35"/>
    <mergeCell ref="F32:T35"/>
    <mergeCell ref="B18:T21"/>
  </mergeCells>
  <phoneticPr fontId="41"/>
  <printOptions horizontalCentered="1"/>
  <pageMargins left="0.70866141732283472" right="0.70866141732283472" top="0.74803149606299213" bottom="0.74803149606299213" header="0.31496062992125984" footer="0.31496062992125984"/>
  <pageSetup paperSize="9" scale="85" orientation="portrait" r:id="rId1"/>
  <colBreaks count="1" manualBreakCount="1">
    <brk id="21"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sheetPr>
  <dimension ref="A1:U36"/>
  <sheetViews>
    <sheetView view="pageBreakPreview" zoomScale="195" zoomScaleNormal="100" zoomScaleSheetLayoutView="195" workbookViewId="0">
      <selection activeCell="O32" sqref="O32:T32"/>
    </sheetView>
  </sheetViews>
  <sheetFormatPr baseColWidth="10" defaultColWidth="8.5" defaultRowHeight="18"/>
  <cols>
    <col min="1" max="1" width="0.5" style="34" customWidth="1"/>
    <col min="2" max="20" width="4.5" style="34" customWidth="1"/>
    <col min="21" max="21" width="0.83203125" style="34" customWidth="1"/>
    <col min="22" max="16384" width="8.5" style="34"/>
  </cols>
  <sheetData>
    <row r="1" spans="1:21" s="31" customFormat="1" ht="13.5" customHeight="1">
      <c r="B1" s="659"/>
      <c r="C1" s="659"/>
      <c r="D1" s="659"/>
      <c r="E1" s="659"/>
      <c r="F1" s="659"/>
      <c r="G1" s="659"/>
      <c r="H1" s="659"/>
      <c r="I1" s="659"/>
      <c r="J1" s="659"/>
      <c r="K1" s="659"/>
      <c r="L1" s="659"/>
      <c r="M1" s="659"/>
      <c r="N1" s="659"/>
      <c r="O1" s="659"/>
      <c r="P1" s="659"/>
      <c r="Q1" s="659"/>
      <c r="R1" s="659"/>
      <c r="S1" s="659"/>
      <c r="T1" s="659"/>
      <c r="U1" s="659"/>
    </row>
    <row r="2" spans="1:21" ht="20">
      <c r="B2" s="35"/>
    </row>
    <row r="3" spans="1:21" ht="36" customHeight="1">
      <c r="B3" s="605" t="s">
        <v>417</v>
      </c>
      <c r="C3" s="606"/>
      <c r="D3" s="606"/>
      <c r="E3" s="606"/>
      <c r="F3" s="606"/>
      <c r="G3" s="606"/>
      <c r="H3" s="606"/>
      <c r="I3" s="606"/>
      <c r="J3" s="606"/>
      <c r="K3" s="606"/>
      <c r="L3" s="606"/>
      <c r="M3" s="606"/>
      <c r="N3" s="606"/>
      <c r="O3" s="606"/>
      <c r="P3" s="606"/>
      <c r="Q3" s="606"/>
      <c r="R3" s="606"/>
      <c r="S3" s="606"/>
      <c r="T3" s="607"/>
      <c r="U3" s="38"/>
    </row>
    <row r="4" spans="1:21" ht="24.75" customHeight="1">
      <c r="B4" s="634" t="s">
        <v>179</v>
      </c>
      <c r="C4" s="572"/>
      <c r="D4" s="572"/>
      <c r="E4" s="573"/>
      <c r="F4" s="650" t="s">
        <v>661</v>
      </c>
      <c r="G4" s="651"/>
      <c r="H4" s="651"/>
      <c r="I4" s="651"/>
      <c r="J4" s="651"/>
      <c r="K4" s="651"/>
      <c r="L4" s="651"/>
      <c r="M4" s="651"/>
      <c r="N4" s="651"/>
      <c r="O4" s="651"/>
      <c r="P4" s="651"/>
      <c r="Q4" s="651"/>
      <c r="R4" s="651"/>
      <c r="S4" s="651"/>
      <c r="T4" s="652"/>
      <c r="U4" s="37"/>
    </row>
    <row r="5" spans="1:21" ht="24.75" customHeight="1">
      <c r="B5" s="574"/>
      <c r="C5" s="575"/>
      <c r="D5" s="575"/>
      <c r="E5" s="576"/>
      <c r="F5" s="653"/>
      <c r="G5" s="654"/>
      <c r="H5" s="654"/>
      <c r="I5" s="654"/>
      <c r="J5" s="654"/>
      <c r="K5" s="654"/>
      <c r="L5" s="654"/>
      <c r="M5" s="654"/>
      <c r="N5" s="654"/>
      <c r="O5" s="654"/>
      <c r="P5" s="654"/>
      <c r="Q5" s="654"/>
      <c r="R5" s="654"/>
      <c r="S5" s="654"/>
      <c r="T5" s="655"/>
      <c r="U5" s="37"/>
    </row>
    <row r="6" spans="1:21" ht="24.75" customHeight="1">
      <c r="B6" s="574"/>
      <c r="C6" s="575"/>
      <c r="D6" s="575"/>
      <c r="E6" s="576"/>
      <c r="F6" s="653"/>
      <c r="G6" s="654"/>
      <c r="H6" s="654"/>
      <c r="I6" s="654"/>
      <c r="J6" s="654"/>
      <c r="K6" s="654"/>
      <c r="L6" s="654"/>
      <c r="M6" s="654"/>
      <c r="N6" s="654"/>
      <c r="O6" s="654"/>
      <c r="P6" s="654"/>
      <c r="Q6" s="654"/>
      <c r="R6" s="654"/>
      <c r="S6" s="654"/>
      <c r="T6" s="655"/>
      <c r="U6" s="37"/>
    </row>
    <row r="7" spans="1:21" ht="24.75" customHeight="1">
      <c r="B7" s="574"/>
      <c r="C7" s="575"/>
      <c r="D7" s="575"/>
      <c r="E7" s="576"/>
      <c r="F7" s="653"/>
      <c r="G7" s="654"/>
      <c r="H7" s="654"/>
      <c r="I7" s="654"/>
      <c r="J7" s="654"/>
      <c r="K7" s="654"/>
      <c r="L7" s="654"/>
      <c r="M7" s="654"/>
      <c r="N7" s="654"/>
      <c r="O7" s="654"/>
      <c r="P7" s="654"/>
      <c r="Q7" s="654"/>
      <c r="R7" s="654"/>
      <c r="S7" s="654"/>
      <c r="T7" s="655"/>
      <c r="U7" s="37"/>
    </row>
    <row r="8" spans="1:21" ht="24.75" customHeight="1">
      <c r="B8" s="574"/>
      <c r="C8" s="575"/>
      <c r="D8" s="575"/>
      <c r="E8" s="576"/>
      <c r="F8" s="653"/>
      <c r="G8" s="654"/>
      <c r="H8" s="654"/>
      <c r="I8" s="654"/>
      <c r="J8" s="654"/>
      <c r="K8" s="654"/>
      <c r="L8" s="654"/>
      <c r="M8" s="654"/>
      <c r="N8" s="654"/>
      <c r="O8" s="654"/>
      <c r="P8" s="654"/>
      <c r="Q8" s="654"/>
      <c r="R8" s="654"/>
      <c r="S8" s="654"/>
      <c r="T8" s="655"/>
      <c r="U8" s="37"/>
    </row>
    <row r="9" spans="1:21" ht="24.75" customHeight="1">
      <c r="B9" s="574"/>
      <c r="C9" s="575"/>
      <c r="D9" s="575"/>
      <c r="E9" s="576"/>
      <c r="F9" s="653"/>
      <c r="G9" s="654"/>
      <c r="H9" s="654"/>
      <c r="I9" s="654"/>
      <c r="J9" s="654"/>
      <c r="K9" s="654"/>
      <c r="L9" s="654"/>
      <c r="M9" s="654"/>
      <c r="N9" s="654"/>
      <c r="O9" s="654"/>
      <c r="P9" s="654"/>
      <c r="Q9" s="654"/>
      <c r="R9" s="654"/>
      <c r="S9" s="654"/>
      <c r="T9" s="655"/>
      <c r="U9" s="37"/>
    </row>
    <row r="10" spans="1:21" ht="24.75" customHeight="1">
      <c r="B10" s="577"/>
      <c r="C10" s="578"/>
      <c r="D10" s="578"/>
      <c r="E10" s="579"/>
      <c r="F10" s="656"/>
      <c r="G10" s="657"/>
      <c r="H10" s="657"/>
      <c r="I10" s="657"/>
      <c r="J10" s="657"/>
      <c r="K10" s="657"/>
      <c r="L10" s="657"/>
      <c r="M10" s="657"/>
      <c r="N10" s="657"/>
      <c r="O10" s="657"/>
      <c r="P10" s="657"/>
      <c r="Q10" s="657"/>
      <c r="R10" s="657"/>
      <c r="S10" s="657"/>
      <c r="T10" s="658"/>
      <c r="U10" s="37"/>
    </row>
    <row r="11" spans="1:21" ht="24.75" customHeight="1">
      <c r="B11" s="634" t="s">
        <v>180</v>
      </c>
      <c r="C11" s="572"/>
      <c r="D11" s="572"/>
      <c r="E11" s="573"/>
      <c r="F11" s="665" t="s">
        <v>662</v>
      </c>
      <c r="G11" s="666"/>
      <c r="H11" s="666"/>
      <c r="I11" s="666"/>
      <c r="J11" s="666"/>
      <c r="K11" s="666"/>
      <c r="L11" s="666"/>
      <c r="M11" s="666"/>
      <c r="N11" s="666"/>
      <c r="O11" s="666"/>
      <c r="P11" s="666"/>
      <c r="Q11" s="666"/>
      <c r="R11" s="666"/>
      <c r="S11" s="666"/>
      <c r="T11" s="667"/>
      <c r="U11" s="37"/>
    </row>
    <row r="12" spans="1:21" ht="24.75" customHeight="1">
      <c r="B12" s="664"/>
      <c r="C12" s="575"/>
      <c r="D12" s="575"/>
      <c r="E12" s="576"/>
      <c r="F12" s="668"/>
      <c r="G12" s="669"/>
      <c r="H12" s="669"/>
      <c r="I12" s="669"/>
      <c r="J12" s="669"/>
      <c r="K12" s="669"/>
      <c r="L12" s="669"/>
      <c r="M12" s="669"/>
      <c r="N12" s="669"/>
      <c r="O12" s="669"/>
      <c r="P12" s="669"/>
      <c r="Q12" s="669"/>
      <c r="R12" s="669"/>
      <c r="S12" s="669"/>
      <c r="T12" s="670"/>
      <c r="U12" s="37"/>
    </row>
    <row r="13" spans="1:21" ht="24.75" customHeight="1">
      <c r="B13" s="664"/>
      <c r="C13" s="575"/>
      <c r="D13" s="575"/>
      <c r="E13" s="576"/>
      <c r="F13" s="668"/>
      <c r="G13" s="669"/>
      <c r="H13" s="669"/>
      <c r="I13" s="669"/>
      <c r="J13" s="669"/>
      <c r="K13" s="669"/>
      <c r="L13" s="669"/>
      <c r="M13" s="669"/>
      <c r="N13" s="669"/>
      <c r="O13" s="669"/>
      <c r="P13" s="669"/>
      <c r="Q13" s="669"/>
      <c r="R13" s="669"/>
      <c r="S13" s="669"/>
      <c r="T13" s="670"/>
      <c r="U13" s="37"/>
    </row>
    <row r="14" spans="1:21" ht="24.75" customHeight="1">
      <c r="B14" s="574"/>
      <c r="C14" s="575"/>
      <c r="D14" s="575"/>
      <c r="E14" s="576"/>
      <c r="F14" s="668"/>
      <c r="G14" s="669"/>
      <c r="H14" s="669"/>
      <c r="I14" s="669"/>
      <c r="J14" s="669"/>
      <c r="K14" s="669"/>
      <c r="L14" s="669"/>
      <c r="M14" s="669"/>
      <c r="N14" s="669"/>
      <c r="O14" s="669"/>
      <c r="P14" s="669"/>
      <c r="Q14" s="669"/>
      <c r="R14" s="669"/>
      <c r="S14" s="669"/>
      <c r="T14" s="670"/>
      <c r="U14" s="37"/>
    </row>
    <row r="15" spans="1:21" ht="19" customHeight="1">
      <c r="B15" s="577"/>
      <c r="C15" s="578"/>
      <c r="D15" s="578"/>
      <c r="E15" s="579"/>
      <c r="F15" s="671"/>
      <c r="G15" s="672"/>
      <c r="H15" s="672"/>
      <c r="I15" s="672"/>
      <c r="J15" s="672"/>
      <c r="K15" s="672"/>
      <c r="L15" s="672"/>
      <c r="M15" s="672"/>
      <c r="N15" s="672"/>
      <c r="O15" s="672"/>
      <c r="P15" s="672"/>
      <c r="Q15" s="672"/>
      <c r="R15" s="672"/>
      <c r="S15" s="672"/>
      <c r="T15" s="673"/>
      <c r="U15" s="37"/>
    </row>
    <row r="16" spans="1:21" ht="24.75" customHeight="1">
      <c r="A16" s="36"/>
      <c r="B16" s="571" t="s">
        <v>223</v>
      </c>
      <c r="C16" s="572"/>
      <c r="D16" s="572"/>
      <c r="E16" s="573"/>
      <c r="F16" s="674" t="s">
        <v>663</v>
      </c>
      <c r="G16" s="675"/>
      <c r="H16" s="675"/>
      <c r="I16" s="675"/>
      <c r="J16" s="675"/>
      <c r="K16" s="675"/>
      <c r="L16" s="675"/>
      <c r="M16" s="675"/>
      <c r="N16" s="675"/>
      <c r="O16" s="675"/>
      <c r="P16" s="675"/>
      <c r="Q16" s="675"/>
      <c r="R16" s="675"/>
      <c r="S16" s="675"/>
      <c r="T16" s="676"/>
      <c r="U16" s="37"/>
    </row>
    <row r="17" spans="1:21" ht="24.75" customHeight="1">
      <c r="A17" s="36"/>
      <c r="B17" s="574"/>
      <c r="C17" s="575"/>
      <c r="D17" s="575"/>
      <c r="E17" s="576"/>
      <c r="F17" s="677"/>
      <c r="G17" s="678"/>
      <c r="H17" s="678"/>
      <c r="I17" s="678"/>
      <c r="J17" s="678"/>
      <c r="K17" s="678"/>
      <c r="L17" s="678"/>
      <c r="M17" s="678"/>
      <c r="N17" s="678"/>
      <c r="O17" s="678"/>
      <c r="P17" s="678"/>
      <c r="Q17" s="678"/>
      <c r="R17" s="678"/>
      <c r="S17" s="678"/>
      <c r="T17" s="679"/>
      <c r="U17" s="37"/>
    </row>
    <row r="18" spans="1:21" ht="24.75" customHeight="1">
      <c r="A18" s="36"/>
      <c r="B18" s="574"/>
      <c r="C18" s="575"/>
      <c r="D18" s="575"/>
      <c r="E18" s="576"/>
      <c r="F18" s="678"/>
      <c r="G18" s="678"/>
      <c r="H18" s="678"/>
      <c r="I18" s="678"/>
      <c r="J18" s="678"/>
      <c r="K18" s="678"/>
      <c r="L18" s="678"/>
      <c r="M18" s="678"/>
      <c r="N18" s="678"/>
      <c r="O18" s="678"/>
      <c r="P18" s="678"/>
      <c r="Q18" s="678"/>
      <c r="R18" s="678"/>
      <c r="S18" s="678"/>
      <c r="T18" s="679"/>
      <c r="U18" s="37"/>
    </row>
    <row r="19" spans="1:21" ht="37" customHeight="1">
      <c r="A19" s="36"/>
      <c r="B19" s="577"/>
      <c r="C19" s="578"/>
      <c r="D19" s="578"/>
      <c r="E19" s="579"/>
      <c r="F19" s="680"/>
      <c r="G19" s="680"/>
      <c r="H19" s="680"/>
      <c r="I19" s="680"/>
      <c r="J19" s="680"/>
      <c r="K19" s="680"/>
      <c r="L19" s="680"/>
      <c r="M19" s="680"/>
      <c r="N19" s="680"/>
      <c r="O19" s="680"/>
      <c r="P19" s="680"/>
      <c r="Q19" s="680"/>
      <c r="R19" s="680"/>
      <c r="S19" s="680"/>
      <c r="T19" s="681"/>
      <c r="U19" s="37"/>
    </row>
    <row r="20" spans="1:21" ht="24.75" customHeight="1">
      <c r="B20" s="156"/>
      <c r="C20" s="157"/>
      <c r="D20" s="157"/>
      <c r="E20" s="157"/>
      <c r="F20" s="158"/>
      <c r="G20" s="158"/>
      <c r="H20" s="158"/>
      <c r="I20" s="158"/>
      <c r="J20" s="158"/>
      <c r="K20" s="158"/>
      <c r="L20" s="158"/>
      <c r="M20" s="158"/>
      <c r="N20" s="158"/>
      <c r="O20" s="158"/>
      <c r="P20" s="158"/>
      <c r="Q20" s="158"/>
      <c r="R20" s="158"/>
      <c r="S20" s="158"/>
      <c r="T20" s="158"/>
      <c r="U20" s="37"/>
    </row>
    <row r="21" spans="1:21" ht="36" customHeight="1">
      <c r="B21" s="660" t="s">
        <v>418</v>
      </c>
      <c r="C21" s="661"/>
      <c r="D21" s="661"/>
      <c r="E21" s="661"/>
      <c r="F21" s="661"/>
      <c r="G21" s="661"/>
      <c r="H21" s="661"/>
      <c r="I21" s="661"/>
      <c r="J21" s="661"/>
      <c r="K21" s="661"/>
      <c r="L21" s="661"/>
      <c r="M21" s="661"/>
      <c r="N21" s="661"/>
      <c r="O21" s="661"/>
      <c r="P21" s="661"/>
      <c r="Q21" s="661"/>
      <c r="R21" s="661"/>
      <c r="S21" s="661"/>
      <c r="T21" s="662"/>
      <c r="U21" s="38"/>
    </row>
    <row r="22" spans="1:21" ht="24.75" customHeight="1">
      <c r="B22" s="634" t="s">
        <v>181</v>
      </c>
      <c r="C22" s="572"/>
      <c r="D22" s="572"/>
      <c r="E22" s="573"/>
      <c r="F22" s="663" t="s">
        <v>665</v>
      </c>
      <c r="G22" s="563"/>
      <c r="H22" s="563"/>
      <c r="I22" s="563"/>
      <c r="J22" s="563"/>
      <c r="K22" s="563"/>
      <c r="L22" s="563"/>
      <c r="M22" s="563"/>
      <c r="N22" s="563"/>
      <c r="O22" s="563"/>
      <c r="P22" s="563"/>
      <c r="Q22" s="563"/>
      <c r="R22" s="563"/>
      <c r="S22" s="563"/>
      <c r="T22" s="564"/>
      <c r="U22" s="37"/>
    </row>
    <row r="23" spans="1:21" ht="24.75" customHeight="1">
      <c r="B23" s="574"/>
      <c r="C23" s="575"/>
      <c r="D23" s="575"/>
      <c r="E23" s="576"/>
      <c r="F23" s="565"/>
      <c r="G23" s="566"/>
      <c r="H23" s="566"/>
      <c r="I23" s="566"/>
      <c r="J23" s="566"/>
      <c r="K23" s="566"/>
      <c r="L23" s="566"/>
      <c r="M23" s="566"/>
      <c r="N23" s="566"/>
      <c r="O23" s="566"/>
      <c r="P23" s="566"/>
      <c r="Q23" s="566"/>
      <c r="R23" s="566"/>
      <c r="S23" s="566"/>
      <c r="T23" s="567"/>
      <c r="U23" s="37"/>
    </row>
    <row r="24" spans="1:21" ht="24.75" customHeight="1">
      <c r="B24" s="574"/>
      <c r="C24" s="575"/>
      <c r="D24" s="575"/>
      <c r="E24" s="576"/>
      <c r="F24" s="565"/>
      <c r="G24" s="566"/>
      <c r="H24" s="566"/>
      <c r="I24" s="566"/>
      <c r="J24" s="566"/>
      <c r="K24" s="566"/>
      <c r="L24" s="566"/>
      <c r="M24" s="566"/>
      <c r="N24" s="566"/>
      <c r="O24" s="566"/>
      <c r="P24" s="566"/>
      <c r="Q24" s="566"/>
      <c r="R24" s="566"/>
      <c r="S24" s="566"/>
      <c r="T24" s="567"/>
      <c r="U24" s="37"/>
    </row>
    <row r="25" spans="1:21" ht="24.75" customHeight="1">
      <c r="B25" s="574"/>
      <c r="C25" s="575"/>
      <c r="D25" s="575"/>
      <c r="E25" s="576"/>
      <c r="F25" s="565"/>
      <c r="G25" s="566"/>
      <c r="H25" s="566"/>
      <c r="I25" s="566"/>
      <c r="J25" s="566"/>
      <c r="K25" s="566"/>
      <c r="L25" s="566"/>
      <c r="M25" s="566"/>
      <c r="N25" s="566"/>
      <c r="O25" s="566"/>
      <c r="P25" s="566"/>
      <c r="Q25" s="566"/>
      <c r="R25" s="566"/>
      <c r="S25" s="566"/>
      <c r="T25" s="567"/>
      <c r="U25" s="37"/>
    </row>
    <row r="26" spans="1:21" ht="24.75" customHeight="1">
      <c r="B26" s="574"/>
      <c r="C26" s="575"/>
      <c r="D26" s="575"/>
      <c r="E26" s="576"/>
      <c r="F26" s="565"/>
      <c r="G26" s="566"/>
      <c r="H26" s="566"/>
      <c r="I26" s="566"/>
      <c r="J26" s="566"/>
      <c r="K26" s="566"/>
      <c r="L26" s="566"/>
      <c r="M26" s="566"/>
      <c r="N26" s="566"/>
      <c r="O26" s="566"/>
      <c r="P26" s="566"/>
      <c r="Q26" s="566"/>
      <c r="R26" s="566"/>
      <c r="S26" s="566"/>
      <c r="T26" s="567"/>
      <c r="U26" s="37"/>
    </row>
    <row r="27" spans="1:21" ht="24.75" customHeight="1">
      <c r="B27" s="574"/>
      <c r="C27" s="575"/>
      <c r="D27" s="575"/>
      <c r="E27" s="576"/>
      <c r="F27" s="565"/>
      <c r="G27" s="566"/>
      <c r="H27" s="566"/>
      <c r="I27" s="566"/>
      <c r="J27" s="566"/>
      <c r="K27" s="566"/>
      <c r="L27" s="566"/>
      <c r="M27" s="566"/>
      <c r="N27" s="566"/>
      <c r="O27" s="566"/>
      <c r="P27" s="566"/>
      <c r="Q27" s="566"/>
      <c r="R27" s="566"/>
      <c r="S27" s="566"/>
      <c r="T27" s="567"/>
      <c r="U27" s="37"/>
    </row>
    <row r="28" spans="1:21" ht="24.75" customHeight="1">
      <c r="B28" s="574"/>
      <c r="C28" s="575"/>
      <c r="D28" s="575"/>
      <c r="E28" s="576"/>
      <c r="F28" s="565"/>
      <c r="G28" s="566"/>
      <c r="H28" s="566"/>
      <c r="I28" s="566"/>
      <c r="J28" s="566"/>
      <c r="K28" s="566"/>
      <c r="L28" s="566"/>
      <c r="M28" s="566"/>
      <c r="N28" s="566"/>
      <c r="O28" s="566"/>
      <c r="P28" s="566"/>
      <c r="Q28" s="566"/>
      <c r="R28" s="566"/>
      <c r="S28" s="566"/>
      <c r="T28" s="567"/>
      <c r="U28" s="37"/>
    </row>
    <row r="29" spans="1:21" ht="24.75" customHeight="1">
      <c r="B29" s="574"/>
      <c r="C29" s="575"/>
      <c r="D29" s="575"/>
      <c r="E29" s="576"/>
      <c r="F29" s="565"/>
      <c r="G29" s="566"/>
      <c r="H29" s="566"/>
      <c r="I29" s="566"/>
      <c r="J29" s="566"/>
      <c r="K29" s="566"/>
      <c r="L29" s="566"/>
      <c r="M29" s="566"/>
      <c r="N29" s="566"/>
      <c r="O29" s="566"/>
      <c r="P29" s="566"/>
      <c r="Q29" s="566"/>
      <c r="R29" s="566"/>
      <c r="S29" s="566"/>
      <c r="T29" s="567"/>
      <c r="U29" s="37"/>
    </row>
    <row r="30" spans="1:21" ht="24.75" customHeight="1">
      <c r="B30" s="577"/>
      <c r="C30" s="578"/>
      <c r="D30" s="578"/>
      <c r="E30" s="579"/>
      <c r="F30" s="568"/>
      <c r="G30" s="569"/>
      <c r="H30" s="569"/>
      <c r="I30" s="569"/>
      <c r="J30" s="569"/>
      <c r="K30" s="569"/>
      <c r="L30" s="569"/>
      <c r="M30" s="569"/>
      <c r="N30" s="569"/>
      <c r="O30" s="569"/>
      <c r="P30" s="569"/>
      <c r="Q30" s="569"/>
      <c r="R30" s="569"/>
      <c r="S30" s="569"/>
      <c r="T30" s="570"/>
      <c r="U30" s="37"/>
    </row>
    <row r="31" spans="1:21">
      <c r="B31" s="634" t="s">
        <v>182</v>
      </c>
      <c r="C31" s="635"/>
      <c r="D31" s="635"/>
      <c r="E31" s="636"/>
      <c r="F31" s="618" t="s">
        <v>183</v>
      </c>
      <c r="G31" s="619"/>
      <c r="H31" s="620"/>
      <c r="I31" s="618" t="s">
        <v>413</v>
      </c>
      <c r="J31" s="619"/>
      <c r="K31" s="620"/>
      <c r="L31" s="618" t="s">
        <v>414</v>
      </c>
      <c r="M31" s="619"/>
      <c r="N31" s="620"/>
      <c r="O31" s="619" t="s">
        <v>184</v>
      </c>
      <c r="P31" s="619"/>
      <c r="Q31" s="619"/>
      <c r="R31" s="619"/>
      <c r="S31" s="619"/>
      <c r="T31" s="627"/>
    </row>
    <row r="32" spans="1:21">
      <c r="B32" s="637"/>
      <c r="C32" s="638"/>
      <c r="D32" s="638"/>
      <c r="E32" s="639"/>
      <c r="F32" s="621" t="s">
        <v>664</v>
      </c>
      <c r="G32" s="622"/>
      <c r="H32" s="623"/>
      <c r="I32" s="649">
        <v>18640000</v>
      </c>
      <c r="J32" s="622"/>
      <c r="K32" s="623"/>
      <c r="L32" s="649">
        <v>27640000</v>
      </c>
      <c r="M32" s="622"/>
      <c r="N32" s="623"/>
      <c r="O32" s="622" t="s">
        <v>666</v>
      </c>
      <c r="P32" s="622"/>
      <c r="Q32" s="622"/>
      <c r="R32" s="622"/>
      <c r="S32" s="622"/>
      <c r="T32" s="628"/>
    </row>
    <row r="33" spans="2:20" ht="18" customHeight="1">
      <c r="B33" s="637"/>
      <c r="C33" s="638"/>
      <c r="D33" s="638"/>
      <c r="E33" s="639"/>
      <c r="F33" s="621" t="s">
        <v>667</v>
      </c>
      <c r="G33" s="622"/>
      <c r="H33" s="623"/>
      <c r="I33" s="649">
        <v>-2230000</v>
      </c>
      <c r="J33" s="622"/>
      <c r="K33" s="623"/>
      <c r="L33" s="649">
        <v>495000</v>
      </c>
      <c r="M33" s="622"/>
      <c r="N33" s="623"/>
      <c r="O33" s="629" t="s">
        <v>668</v>
      </c>
      <c r="P33" s="630"/>
      <c r="Q33" s="630"/>
      <c r="R33" s="630"/>
      <c r="S33" s="630"/>
      <c r="T33" s="631"/>
    </row>
    <row r="34" spans="2:20">
      <c r="B34" s="637"/>
      <c r="C34" s="638"/>
      <c r="D34" s="638"/>
      <c r="E34" s="639"/>
      <c r="F34" s="621" t="s">
        <v>669</v>
      </c>
      <c r="G34" s="622"/>
      <c r="H34" s="623"/>
      <c r="I34" s="621" t="s">
        <v>670</v>
      </c>
      <c r="J34" s="622"/>
      <c r="K34" s="623"/>
      <c r="L34" s="621" t="s">
        <v>671</v>
      </c>
      <c r="M34" s="622"/>
      <c r="N34" s="623"/>
      <c r="O34" s="622" t="s">
        <v>672</v>
      </c>
      <c r="P34" s="622"/>
      <c r="Q34" s="622"/>
      <c r="R34" s="622"/>
      <c r="S34" s="622"/>
      <c r="T34" s="628"/>
    </row>
    <row r="35" spans="2:20">
      <c r="B35" s="637"/>
      <c r="C35" s="638"/>
      <c r="D35" s="638"/>
      <c r="E35" s="639"/>
      <c r="F35" s="643"/>
      <c r="G35" s="632"/>
      <c r="H35" s="644"/>
      <c r="I35" s="643"/>
      <c r="J35" s="632"/>
      <c r="K35" s="644"/>
      <c r="L35" s="643"/>
      <c r="M35" s="632"/>
      <c r="N35" s="644"/>
      <c r="O35" s="632"/>
      <c r="P35" s="632"/>
      <c r="Q35" s="632"/>
      <c r="R35" s="632"/>
      <c r="S35" s="632"/>
      <c r="T35" s="633"/>
    </row>
    <row r="36" spans="2:20">
      <c r="B36" s="640"/>
      <c r="C36" s="641"/>
      <c r="D36" s="641"/>
      <c r="E36" s="642"/>
      <c r="F36" s="624"/>
      <c r="G36" s="625"/>
      <c r="H36" s="645"/>
      <c r="I36" s="646"/>
      <c r="J36" s="647"/>
      <c r="K36" s="648"/>
      <c r="L36" s="646"/>
      <c r="M36" s="647"/>
      <c r="N36" s="648"/>
      <c r="O36" s="624"/>
      <c r="P36" s="625"/>
      <c r="Q36" s="625"/>
      <c r="R36" s="625"/>
      <c r="S36" s="625"/>
      <c r="T36" s="626"/>
    </row>
  </sheetData>
  <mergeCells count="36">
    <mergeCell ref="F4:T10"/>
    <mergeCell ref="B1:U1"/>
    <mergeCell ref="B21:T21"/>
    <mergeCell ref="B22:E30"/>
    <mergeCell ref="F22:T30"/>
    <mergeCell ref="B11:E15"/>
    <mergeCell ref="F11:T15"/>
    <mergeCell ref="B3:T3"/>
    <mergeCell ref="B4:E10"/>
    <mergeCell ref="B16:E19"/>
    <mergeCell ref="F16:T19"/>
    <mergeCell ref="B31:E36"/>
    <mergeCell ref="L34:N34"/>
    <mergeCell ref="F35:H35"/>
    <mergeCell ref="F36:H36"/>
    <mergeCell ref="I35:K35"/>
    <mergeCell ref="I36:K36"/>
    <mergeCell ref="L35:N35"/>
    <mergeCell ref="L36:N36"/>
    <mergeCell ref="F34:H34"/>
    <mergeCell ref="I31:K31"/>
    <mergeCell ref="L31:N31"/>
    <mergeCell ref="I32:K32"/>
    <mergeCell ref="I33:K33"/>
    <mergeCell ref="I34:K34"/>
    <mergeCell ref="L32:N32"/>
    <mergeCell ref="L33:N33"/>
    <mergeCell ref="F31:H31"/>
    <mergeCell ref="F32:H32"/>
    <mergeCell ref="F33:H33"/>
    <mergeCell ref="O36:T36"/>
    <mergeCell ref="O31:T31"/>
    <mergeCell ref="O32:T32"/>
    <mergeCell ref="O33:T33"/>
    <mergeCell ref="O34:T34"/>
    <mergeCell ref="O35:T35"/>
  </mergeCells>
  <phoneticPr fontId="41"/>
  <printOptions horizontalCentered="1"/>
  <pageMargins left="0.70866141732283472" right="0.70866141732283472" top="0.74803149606299213" bottom="0.74803149606299213" header="0.31496062992125984" footer="0.31496062992125984"/>
  <pageSetup paperSize="9" scale="84" orientation="portrait" r:id="rId1"/>
  <colBreaks count="1" manualBreakCount="1">
    <brk id="21"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B1:X46"/>
  <sheetViews>
    <sheetView view="pageBreakPreview" zoomScale="187" zoomScaleNormal="100" zoomScaleSheetLayoutView="187" workbookViewId="0">
      <selection activeCell="B47" sqref="B47"/>
    </sheetView>
  </sheetViews>
  <sheetFormatPr baseColWidth="10" defaultColWidth="8.5" defaultRowHeight="18"/>
  <cols>
    <col min="1" max="1" width="0.83203125" style="41" customWidth="1"/>
    <col min="2" max="23" width="4.5" style="41" customWidth="1"/>
    <col min="24" max="24" width="1" style="41" customWidth="1"/>
    <col min="25" max="16384" width="8.5" style="41"/>
  </cols>
  <sheetData>
    <row r="1" spans="2:24" ht="21.75" customHeight="1"/>
    <row r="2" spans="2:24" s="34" customFormat="1" ht="27.75" customHeight="1">
      <c r="B2" s="749" t="s">
        <v>419</v>
      </c>
      <c r="C2" s="750"/>
      <c r="D2" s="750"/>
      <c r="E2" s="750"/>
      <c r="F2" s="750"/>
      <c r="G2" s="750"/>
      <c r="H2" s="750"/>
      <c r="I2" s="750"/>
      <c r="J2" s="750"/>
      <c r="K2" s="750"/>
      <c r="L2" s="750"/>
      <c r="M2" s="750"/>
      <c r="N2" s="750"/>
      <c r="O2" s="750"/>
      <c r="P2" s="750"/>
      <c r="Q2" s="750"/>
      <c r="R2" s="750"/>
      <c r="S2" s="750"/>
      <c r="T2" s="750"/>
      <c r="U2" s="750"/>
      <c r="V2" s="750"/>
      <c r="W2" s="751"/>
      <c r="X2" s="38"/>
    </row>
    <row r="3" spans="2:24" s="34" customFormat="1">
      <c r="B3" s="682" t="s">
        <v>673</v>
      </c>
      <c r="C3" s="683"/>
      <c r="D3" s="683"/>
      <c r="E3" s="683"/>
      <c r="F3" s="683"/>
      <c r="G3" s="683"/>
      <c r="H3" s="683"/>
      <c r="I3" s="683"/>
      <c r="J3" s="683"/>
      <c r="K3" s="683"/>
      <c r="L3" s="683"/>
      <c r="M3" s="683"/>
      <c r="N3" s="683"/>
      <c r="O3" s="683"/>
      <c r="P3" s="683"/>
      <c r="Q3" s="683"/>
      <c r="R3" s="683"/>
      <c r="S3" s="683"/>
      <c r="T3" s="683"/>
      <c r="U3" s="683"/>
      <c r="V3" s="683"/>
      <c r="W3" s="684"/>
    </row>
    <row r="4" spans="2:24" s="34" customFormat="1">
      <c r="B4" s="685"/>
      <c r="C4" s="686"/>
      <c r="D4" s="686"/>
      <c r="E4" s="686"/>
      <c r="F4" s="686"/>
      <c r="G4" s="686"/>
      <c r="H4" s="686"/>
      <c r="I4" s="686"/>
      <c r="J4" s="686"/>
      <c r="K4" s="686"/>
      <c r="L4" s="686"/>
      <c r="M4" s="686"/>
      <c r="N4" s="686"/>
      <c r="O4" s="686"/>
      <c r="P4" s="686"/>
      <c r="Q4" s="686"/>
      <c r="R4" s="686"/>
      <c r="S4" s="686"/>
      <c r="T4" s="686"/>
      <c r="U4" s="686"/>
      <c r="V4" s="686"/>
      <c r="W4" s="687"/>
    </row>
    <row r="5" spans="2:24" s="34" customFormat="1">
      <c r="B5" s="685"/>
      <c r="C5" s="686"/>
      <c r="D5" s="686"/>
      <c r="E5" s="686"/>
      <c r="F5" s="686"/>
      <c r="G5" s="686"/>
      <c r="H5" s="686"/>
      <c r="I5" s="686"/>
      <c r="J5" s="686"/>
      <c r="K5" s="686"/>
      <c r="L5" s="686"/>
      <c r="M5" s="686"/>
      <c r="N5" s="686"/>
      <c r="O5" s="686"/>
      <c r="P5" s="686"/>
      <c r="Q5" s="686"/>
      <c r="R5" s="686"/>
      <c r="S5" s="686"/>
      <c r="T5" s="686"/>
      <c r="U5" s="686"/>
      <c r="V5" s="686"/>
      <c r="W5" s="687"/>
    </row>
    <row r="6" spans="2:24" s="34" customFormat="1">
      <c r="B6" s="685"/>
      <c r="C6" s="686"/>
      <c r="D6" s="686"/>
      <c r="E6" s="686"/>
      <c r="F6" s="686"/>
      <c r="G6" s="686"/>
      <c r="H6" s="686"/>
      <c r="I6" s="686"/>
      <c r="J6" s="686"/>
      <c r="K6" s="686"/>
      <c r="L6" s="686"/>
      <c r="M6" s="686"/>
      <c r="N6" s="686"/>
      <c r="O6" s="686"/>
      <c r="P6" s="686"/>
      <c r="Q6" s="686"/>
      <c r="R6" s="686"/>
      <c r="S6" s="686"/>
      <c r="T6" s="686"/>
      <c r="U6" s="686"/>
      <c r="V6" s="686"/>
      <c r="W6" s="687"/>
    </row>
    <row r="7" spans="2:24" s="34" customFormat="1">
      <c r="B7" s="685"/>
      <c r="C7" s="686"/>
      <c r="D7" s="686"/>
      <c r="E7" s="686"/>
      <c r="F7" s="686"/>
      <c r="G7" s="686"/>
      <c r="H7" s="686"/>
      <c r="I7" s="686"/>
      <c r="J7" s="686"/>
      <c r="K7" s="686"/>
      <c r="L7" s="686"/>
      <c r="M7" s="686"/>
      <c r="N7" s="686"/>
      <c r="O7" s="686"/>
      <c r="P7" s="686"/>
      <c r="Q7" s="686"/>
      <c r="R7" s="686"/>
      <c r="S7" s="686"/>
      <c r="T7" s="686"/>
      <c r="U7" s="686"/>
      <c r="V7" s="686"/>
      <c r="W7" s="687"/>
    </row>
    <row r="8" spans="2:24" s="34" customFormat="1">
      <c r="B8" s="685"/>
      <c r="C8" s="686"/>
      <c r="D8" s="686"/>
      <c r="E8" s="686"/>
      <c r="F8" s="686"/>
      <c r="G8" s="686"/>
      <c r="H8" s="686"/>
      <c r="I8" s="686"/>
      <c r="J8" s="686"/>
      <c r="K8" s="686"/>
      <c r="L8" s="686"/>
      <c r="M8" s="686"/>
      <c r="N8" s="686"/>
      <c r="O8" s="686"/>
      <c r="P8" s="686"/>
      <c r="Q8" s="686"/>
      <c r="R8" s="686"/>
      <c r="S8" s="686"/>
      <c r="T8" s="686"/>
      <c r="U8" s="686"/>
      <c r="V8" s="686"/>
      <c r="W8" s="687"/>
    </row>
    <row r="9" spans="2:24" s="34" customFormat="1">
      <c r="B9" s="685"/>
      <c r="C9" s="686"/>
      <c r="D9" s="686"/>
      <c r="E9" s="686"/>
      <c r="F9" s="686"/>
      <c r="G9" s="686"/>
      <c r="H9" s="686"/>
      <c r="I9" s="686"/>
      <c r="J9" s="686"/>
      <c r="K9" s="686"/>
      <c r="L9" s="686"/>
      <c r="M9" s="686"/>
      <c r="N9" s="686"/>
      <c r="O9" s="686"/>
      <c r="P9" s="686"/>
      <c r="Q9" s="686"/>
      <c r="R9" s="686"/>
      <c r="S9" s="686"/>
      <c r="T9" s="686"/>
      <c r="U9" s="686"/>
      <c r="V9" s="686"/>
      <c r="W9" s="687"/>
    </row>
    <row r="10" spans="2:24" s="34" customFormat="1">
      <c r="B10" s="685"/>
      <c r="C10" s="686"/>
      <c r="D10" s="686"/>
      <c r="E10" s="686"/>
      <c r="F10" s="686"/>
      <c r="G10" s="686"/>
      <c r="H10" s="686"/>
      <c r="I10" s="686"/>
      <c r="J10" s="686"/>
      <c r="K10" s="686"/>
      <c r="L10" s="686"/>
      <c r="M10" s="686"/>
      <c r="N10" s="686"/>
      <c r="O10" s="686"/>
      <c r="P10" s="686"/>
      <c r="Q10" s="686"/>
      <c r="R10" s="686"/>
      <c r="S10" s="686"/>
      <c r="T10" s="686"/>
      <c r="U10" s="686"/>
      <c r="V10" s="686"/>
      <c r="W10" s="687"/>
    </row>
    <row r="11" spans="2:24" s="34" customFormat="1">
      <c r="B11" s="685"/>
      <c r="C11" s="686"/>
      <c r="D11" s="686"/>
      <c r="E11" s="686"/>
      <c r="F11" s="686"/>
      <c r="G11" s="686"/>
      <c r="H11" s="686"/>
      <c r="I11" s="686"/>
      <c r="J11" s="686"/>
      <c r="K11" s="686"/>
      <c r="L11" s="686"/>
      <c r="M11" s="686"/>
      <c r="N11" s="686"/>
      <c r="O11" s="686"/>
      <c r="P11" s="686"/>
      <c r="Q11" s="686"/>
      <c r="R11" s="686"/>
      <c r="S11" s="686"/>
      <c r="T11" s="686"/>
      <c r="U11" s="686"/>
      <c r="V11" s="686"/>
      <c r="W11" s="687"/>
    </row>
    <row r="12" spans="2:24" s="34" customFormat="1">
      <c r="B12" s="685"/>
      <c r="C12" s="686"/>
      <c r="D12" s="686"/>
      <c r="E12" s="686"/>
      <c r="F12" s="686"/>
      <c r="G12" s="686"/>
      <c r="H12" s="686"/>
      <c r="I12" s="686"/>
      <c r="J12" s="686"/>
      <c r="K12" s="686"/>
      <c r="L12" s="686"/>
      <c r="M12" s="686"/>
      <c r="N12" s="686"/>
      <c r="O12" s="686"/>
      <c r="P12" s="686"/>
      <c r="Q12" s="686"/>
      <c r="R12" s="686"/>
      <c r="S12" s="686"/>
      <c r="T12" s="686"/>
      <c r="U12" s="686"/>
      <c r="V12" s="686"/>
      <c r="W12" s="687"/>
    </row>
    <row r="13" spans="2:24" s="34" customFormat="1">
      <c r="B13" s="685"/>
      <c r="C13" s="686"/>
      <c r="D13" s="686"/>
      <c r="E13" s="686"/>
      <c r="F13" s="686"/>
      <c r="G13" s="686"/>
      <c r="H13" s="686"/>
      <c r="I13" s="686"/>
      <c r="J13" s="686"/>
      <c r="K13" s="686"/>
      <c r="L13" s="686"/>
      <c r="M13" s="686"/>
      <c r="N13" s="686"/>
      <c r="O13" s="686"/>
      <c r="P13" s="686"/>
      <c r="Q13" s="686"/>
      <c r="R13" s="686"/>
      <c r="S13" s="686"/>
      <c r="T13" s="686"/>
      <c r="U13" s="686"/>
      <c r="V13" s="686"/>
      <c r="W13" s="687"/>
    </row>
    <row r="14" spans="2:24" s="34" customFormat="1">
      <c r="B14" s="685"/>
      <c r="C14" s="686"/>
      <c r="D14" s="686"/>
      <c r="E14" s="686"/>
      <c r="F14" s="686"/>
      <c r="G14" s="686"/>
      <c r="H14" s="686"/>
      <c r="I14" s="686"/>
      <c r="J14" s="686"/>
      <c r="K14" s="686"/>
      <c r="L14" s="686"/>
      <c r="M14" s="686"/>
      <c r="N14" s="686"/>
      <c r="O14" s="686"/>
      <c r="P14" s="686"/>
      <c r="Q14" s="686"/>
      <c r="R14" s="686"/>
      <c r="S14" s="686"/>
      <c r="T14" s="686"/>
      <c r="U14" s="686"/>
      <c r="V14" s="686"/>
      <c r="W14" s="687"/>
    </row>
    <row r="15" spans="2:24" s="34" customFormat="1">
      <c r="B15" s="685"/>
      <c r="C15" s="686"/>
      <c r="D15" s="686"/>
      <c r="E15" s="686"/>
      <c r="F15" s="686"/>
      <c r="G15" s="686"/>
      <c r="H15" s="686"/>
      <c r="I15" s="686"/>
      <c r="J15" s="686"/>
      <c r="K15" s="686"/>
      <c r="L15" s="686"/>
      <c r="M15" s="686"/>
      <c r="N15" s="686"/>
      <c r="O15" s="686"/>
      <c r="P15" s="686"/>
      <c r="Q15" s="686"/>
      <c r="R15" s="686"/>
      <c r="S15" s="686"/>
      <c r="T15" s="686"/>
      <c r="U15" s="686"/>
      <c r="V15" s="686"/>
      <c r="W15" s="687"/>
    </row>
    <row r="16" spans="2:24" s="34" customFormat="1">
      <c r="B16" s="685"/>
      <c r="C16" s="686"/>
      <c r="D16" s="686"/>
      <c r="E16" s="686"/>
      <c r="F16" s="686"/>
      <c r="G16" s="686"/>
      <c r="H16" s="686"/>
      <c r="I16" s="686"/>
      <c r="J16" s="686"/>
      <c r="K16" s="686"/>
      <c r="L16" s="686"/>
      <c r="M16" s="686"/>
      <c r="N16" s="686"/>
      <c r="O16" s="686"/>
      <c r="P16" s="686"/>
      <c r="Q16" s="686"/>
      <c r="R16" s="686"/>
      <c r="S16" s="686"/>
      <c r="T16" s="686"/>
      <c r="U16" s="686"/>
      <c r="V16" s="686"/>
      <c r="W16" s="687"/>
    </row>
    <row r="17" spans="2:23" s="34" customFormat="1">
      <c r="B17" s="685"/>
      <c r="C17" s="686"/>
      <c r="D17" s="686"/>
      <c r="E17" s="686"/>
      <c r="F17" s="686"/>
      <c r="G17" s="686"/>
      <c r="H17" s="686"/>
      <c r="I17" s="686"/>
      <c r="J17" s="686"/>
      <c r="K17" s="686"/>
      <c r="L17" s="686"/>
      <c r="M17" s="686"/>
      <c r="N17" s="686"/>
      <c r="O17" s="686"/>
      <c r="P17" s="686"/>
      <c r="Q17" s="686"/>
      <c r="R17" s="686"/>
      <c r="S17" s="686"/>
      <c r="T17" s="686"/>
      <c r="U17" s="686"/>
      <c r="V17" s="686"/>
      <c r="W17" s="687"/>
    </row>
    <row r="18" spans="2:23" s="34" customFormat="1">
      <c r="B18" s="688"/>
      <c r="C18" s="689"/>
      <c r="D18" s="689"/>
      <c r="E18" s="689"/>
      <c r="F18" s="689"/>
      <c r="G18" s="689"/>
      <c r="H18" s="689"/>
      <c r="I18" s="689"/>
      <c r="J18" s="689"/>
      <c r="K18" s="689"/>
      <c r="L18" s="689"/>
      <c r="M18" s="689"/>
      <c r="N18" s="689"/>
      <c r="O18" s="689"/>
      <c r="P18" s="689"/>
      <c r="Q18" s="689"/>
      <c r="R18" s="689"/>
      <c r="S18" s="689"/>
      <c r="T18" s="689"/>
      <c r="U18" s="689"/>
      <c r="V18" s="689"/>
      <c r="W18" s="690"/>
    </row>
    <row r="19" spans="2:23" s="34" customFormat="1">
      <c r="B19" s="159" t="s">
        <v>185</v>
      </c>
      <c r="C19" s="160"/>
      <c r="D19" s="160"/>
      <c r="E19" s="160"/>
      <c r="F19" s="160"/>
      <c r="G19" s="160"/>
      <c r="H19" s="160"/>
      <c r="I19" s="160"/>
      <c r="J19" s="160"/>
      <c r="K19" s="160"/>
      <c r="L19" s="160"/>
      <c r="M19" s="160"/>
      <c r="N19" s="160"/>
      <c r="O19" s="160"/>
      <c r="P19" s="160"/>
      <c r="Q19" s="160"/>
      <c r="R19" s="160"/>
      <c r="S19" s="160"/>
      <c r="T19" s="160"/>
      <c r="U19" s="160"/>
      <c r="V19" s="160"/>
      <c r="W19" s="161"/>
    </row>
    <row r="20" spans="2:23" s="34" customFormat="1">
      <c r="B20" s="752" t="s">
        <v>186</v>
      </c>
      <c r="C20" s="753"/>
      <c r="D20" s="754"/>
      <c r="E20" s="755"/>
      <c r="F20" s="755"/>
      <c r="G20" s="756"/>
      <c r="H20" s="757" t="s">
        <v>187</v>
      </c>
      <c r="I20" s="758"/>
      <c r="J20" s="740"/>
      <c r="K20" s="741"/>
      <c r="L20" s="741"/>
      <c r="M20" s="741"/>
      <c r="N20" s="741"/>
      <c r="O20" s="741"/>
      <c r="P20" s="741"/>
      <c r="Q20" s="741"/>
      <c r="R20" s="741"/>
      <c r="S20" s="741"/>
      <c r="T20" s="741"/>
      <c r="U20" s="741"/>
      <c r="V20" s="741"/>
      <c r="W20" s="742"/>
    </row>
    <row r="21" spans="2:23" s="34" customFormat="1">
      <c r="B21" s="752" t="s">
        <v>188</v>
      </c>
      <c r="C21" s="753"/>
      <c r="D21" s="754"/>
      <c r="E21" s="755"/>
      <c r="F21" s="755"/>
      <c r="G21" s="756"/>
      <c r="H21" s="759"/>
      <c r="I21" s="639"/>
      <c r="J21" s="743"/>
      <c r="K21" s="744"/>
      <c r="L21" s="744"/>
      <c r="M21" s="744"/>
      <c r="N21" s="744"/>
      <c r="O21" s="744"/>
      <c r="P21" s="744"/>
      <c r="Q21" s="744"/>
      <c r="R21" s="744"/>
      <c r="S21" s="744"/>
      <c r="T21" s="744"/>
      <c r="U21" s="744"/>
      <c r="V21" s="744"/>
      <c r="W21" s="745"/>
    </row>
    <row r="22" spans="2:23" s="34" customFormat="1">
      <c r="B22" s="761" t="s">
        <v>189</v>
      </c>
      <c r="C22" s="762"/>
      <c r="D22" s="763"/>
      <c r="E22" s="764"/>
      <c r="F22" s="764"/>
      <c r="G22" s="765"/>
      <c r="H22" s="760"/>
      <c r="I22" s="642"/>
      <c r="J22" s="746"/>
      <c r="K22" s="747"/>
      <c r="L22" s="747"/>
      <c r="M22" s="747"/>
      <c r="N22" s="747"/>
      <c r="O22" s="747"/>
      <c r="P22" s="747"/>
      <c r="Q22" s="747"/>
      <c r="R22" s="747"/>
      <c r="S22" s="747"/>
      <c r="T22" s="747"/>
      <c r="U22" s="747"/>
      <c r="V22" s="747"/>
      <c r="W22" s="748"/>
    </row>
    <row r="23" spans="2:23" s="34" customFormat="1">
      <c r="B23" s="162"/>
      <c r="C23" s="162"/>
      <c r="D23" s="163"/>
      <c r="E23" s="163"/>
      <c r="F23" s="163"/>
      <c r="G23" s="163"/>
      <c r="H23" s="162"/>
      <c r="I23" s="162"/>
      <c r="J23" s="163"/>
      <c r="K23" s="163"/>
      <c r="L23" s="163"/>
      <c r="M23" s="163"/>
      <c r="N23" s="163"/>
      <c r="O23" s="163"/>
      <c r="P23" s="163"/>
      <c r="Q23" s="163"/>
      <c r="R23" s="163"/>
      <c r="S23" s="163"/>
      <c r="T23" s="163"/>
      <c r="U23" s="163"/>
      <c r="V23" s="163"/>
      <c r="W23" s="163"/>
    </row>
    <row r="24" spans="2:23" ht="20">
      <c r="B24" s="164" t="s">
        <v>221</v>
      </c>
      <c r="C24" s="165"/>
      <c r="D24" s="165"/>
      <c r="E24" s="165"/>
      <c r="F24" s="165"/>
      <c r="G24" s="165"/>
      <c r="H24" s="165"/>
      <c r="I24" s="165"/>
      <c r="J24" s="165"/>
      <c r="K24" s="165"/>
      <c r="L24" s="165"/>
      <c r="M24" s="165"/>
      <c r="N24" s="165"/>
      <c r="O24" s="165"/>
      <c r="P24" s="165"/>
      <c r="Q24" s="165"/>
      <c r="R24" s="165"/>
      <c r="S24" s="165"/>
      <c r="T24" s="165"/>
      <c r="U24" s="165"/>
      <c r="V24" s="165"/>
      <c r="W24" s="165"/>
    </row>
    <row r="25" spans="2:23" s="34" customFormat="1" ht="27.75" customHeight="1">
      <c r="B25" s="166" t="s">
        <v>216</v>
      </c>
      <c r="C25" s="167"/>
      <c r="D25" s="167"/>
      <c r="E25" s="167"/>
      <c r="F25" s="167"/>
      <c r="G25" s="167"/>
      <c r="H25" s="167"/>
      <c r="I25" s="167"/>
      <c r="J25" s="167"/>
      <c r="K25" s="167"/>
      <c r="L25" s="167"/>
      <c r="M25" s="167"/>
      <c r="N25" s="167"/>
      <c r="O25" s="167"/>
      <c r="P25" s="167"/>
      <c r="Q25" s="167"/>
      <c r="R25" s="167"/>
      <c r="S25" s="167"/>
      <c r="T25" s="167"/>
      <c r="U25" s="167"/>
      <c r="V25" s="167"/>
      <c r="W25" s="168"/>
    </row>
    <row r="26" spans="2:23">
      <c r="B26" s="712" t="s">
        <v>191</v>
      </c>
      <c r="C26" s="713"/>
      <c r="D26" s="714"/>
      <c r="E26" s="715" t="s">
        <v>192</v>
      </c>
      <c r="F26" s="714"/>
      <c r="G26" s="715" t="s">
        <v>193</v>
      </c>
      <c r="H26" s="713"/>
      <c r="I26" s="713"/>
      <c r="J26" s="714"/>
      <c r="K26" s="715" t="s">
        <v>194</v>
      </c>
      <c r="L26" s="713"/>
      <c r="M26" s="713"/>
      <c r="N26" s="713"/>
      <c r="O26" s="713"/>
      <c r="P26" s="713"/>
      <c r="Q26" s="713"/>
      <c r="R26" s="713"/>
      <c r="S26" s="713"/>
      <c r="T26" s="713"/>
      <c r="U26" s="713"/>
      <c r="V26" s="713"/>
      <c r="W26" s="720"/>
    </row>
    <row r="27" spans="2:23" ht="24" customHeight="1">
      <c r="B27" s="721" t="s">
        <v>174</v>
      </c>
      <c r="C27" s="722"/>
      <c r="D27" s="723"/>
      <c r="E27" s="730" t="s">
        <v>195</v>
      </c>
      <c r="F27" s="731"/>
      <c r="G27" s="732">
        <v>8115000</v>
      </c>
      <c r="H27" s="733"/>
      <c r="I27" s="733"/>
      <c r="J27" s="169" t="s">
        <v>38</v>
      </c>
      <c r="K27" s="700" t="s">
        <v>687</v>
      </c>
      <c r="L27" s="701"/>
      <c r="M27" s="701"/>
      <c r="N27" s="701"/>
      <c r="O27" s="701"/>
      <c r="P27" s="701"/>
      <c r="Q27" s="701"/>
      <c r="R27" s="701"/>
      <c r="S27" s="701"/>
      <c r="T27" s="701"/>
      <c r="U27" s="701"/>
      <c r="V27" s="701"/>
      <c r="W27" s="702"/>
    </row>
    <row r="28" spans="2:23" ht="24" customHeight="1">
      <c r="B28" s="724"/>
      <c r="C28" s="725"/>
      <c r="D28" s="726"/>
      <c r="E28" s="734" t="s">
        <v>196</v>
      </c>
      <c r="F28" s="735"/>
      <c r="G28" s="736">
        <v>21980000</v>
      </c>
      <c r="H28" s="737"/>
      <c r="I28" s="737"/>
      <c r="J28" s="170" t="s">
        <v>38</v>
      </c>
      <c r="K28" s="703" t="s">
        <v>688</v>
      </c>
      <c r="L28" s="704"/>
      <c r="M28" s="704"/>
      <c r="N28" s="704"/>
      <c r="O28" s="704"/>
      <c r="P28" s="704"/>
      <c r="Q28" s="704"/>
      <c r="R28" s="704"/>
      <c r="S28" s="704"/>
      <c r="T28" s="704"/>
      <c r="U28" s="704"/>
      <c r="V28" s="704"/>
      <c r="W28" s="705"/>
    </row>
    <row r="29" spans="2:23" ht="24" customHeight="1">
      <c r="B29" s="727"/>
      <c r="C29" s="728"/>
      <c r="D29" s="729"/>
      <c r="E29" s="716" t="s">
        <v>197</v>
      </c>
      <c r="F29" s="717"/>
      <c r="G29" s="738">
        <v>34870000</v>
      </c>
      <c r="H29" s="739"/>
      <c r="I29" s="739"/>
      <c r="J29" s="171" t="s">
        <v>38</v>
      </c>
      <c r="K29" s="703" t="s">
        <v>689</v>
      </c>
      <c r="L29" s="704"/>
      <c r="M29" s="704"/>
      <c r="N29" s="704"/>
      <c r="O29" s="704"/>
      <c r="P29" s="704"/>
      <c r="Q29" s="704"/>
      <c r="R29" s="704"/>
      <c r="S29" s="704"/>
      <c r="T29" s="704"/>
      <c r="U29" s="704"/>
      <c r="V29" s="704"/>
      <c r="W29" s="705"/>
    </row>
    <row r="30" spans="2:23" ht="24" customHeight="1">
      <c r="B30" s="721" t="s">
        <v>198</v>
      </c>
      <c r="C30" s="722"/>
      <c r="D30" s="723"/>
      <c r="E30" s="730" t="s">
        <v>195</v>
      </c>
      <c r="F30" s="731"/>
      <c r="G30" s="732">
        <v>321440</v>
      </c>
      <c r="H30" s="733"/>
      <c r="I30" s="733"/>
      <c r="J30" s="172" t="s">
        <v>38</v>
      </c>
      <c r="K30" s="706" t="s">
        <v>690</v>
      </c>
      <c r="L30" s="707"/>
      <c r="M30" s="707"/>
      <c r="N30" s="707"/>
      <c r="O30" s="707"/>
      <c r="P30" s="707"/>
      <c r="Q30" s="707"/>
      <c r="R30" s="707"/>
      <c r="S30" s="707"/>
      <c r="T30" s="707"/>
      <c r="U30" s="707"/>
      <c r="V30" s="707"/>
      <c r="W30" s="708"/>
    </row>
    <row r="31" spans="2:23" ht="24" customHeight="1">
      <c r="B31" s="724"/>
      <c r="C31" s="725"/>
      <c r="D31" s="726"/>
      <c r="E31" s="734" t="s">
        <v>196</v>
      </c>
      <c r="F31" s="735"/>
      <c r="G31" s="736">
        <v>3881976</v>
      </c>
      <c r="H31" s="737"/>
      <c r="I31" s="737"/>
      <c r="J31" s="169" t="s">
        <v>38</v>
      </c>
      <c r="K31" s="703" t="s">
        <v>691</v>
      </c>
      <c r="L31" s="704"/>
      <c r="M31" s="704"/>
      <c r="N31" s="704"/>
      <c r="O31" s="704"/>
      <c r="P31" s="704"/>
      <c r="Q31" s="704"/>
      <c r="R31" s="704"/>
      <c r="S31" s="704"/>
      <c r="T31" s="704"/>
      <c r="U31" s="704"/>
      <c r="V31" s="704"/>
      <c r="W31" s="705"/>
    </row>
    <row r="32" spans="2:23" ht="24" customHeight="1">
      <c r="B32" s="727"/>
      <c r="C32" s="728"/>
      <c r="D32" s="729"/>
      <c r="E32" s="716" t="s">
        <v>197</v>
      </c>
      <c r="F32" s="717"/>
      <c r="G32" s="718">
        <v>6872194</v>
      </c>
      <c r="H32" s="719"/>
      <c r="I32" s="719"/>
      <c r="J32" s="173" t="s">
        <v>38</v>
      </c>
      <c r="K32" s="709" t="s">
        <v>692</v>
      </c>
      <c r="L32" s="710"/>
      <c r="M32" s="710"/>
      <c r="N32" s="710"/>
      <c r="O32" s="710"/>
      <c r="P32" s="710"/>
      <c r="Q32" s="710"/>
      <c r="R32" s="710"/>
      <c r="S32" s="710"/>
      <c r="T32" s="710"/>
      <c r="U32" s="710"/>
      <c r="V32" s="710"/>
      <c r="W32" s="711"/>
    </row>
    <row r="33" spans="2:23">
      <c r="B33" s="165" t="s">
        <v>219</v>
      </c>
      <c r="C33" s="165"/>
      <c r="D33" s="165"/>
      <c r="E33" s="165"/>
      <c r="F33" s="165"/>
      <c r="G33" s="165"/>
      <c r="H33" s="165"/>
      <c r="I33" s="165"/>
      <c r="J33" s="165"/>
      <c r="K33" s="165"/>
      <c r="L33" s="165"/>
      <c r="M33" s="165"/>
      <c r="N33" s="165"/>
      <c r="O33" s="165"/>
      <c r="P33" s="165"/>
      <c r="Q33" s="165"/>
      <c r="R33" s="165"/>
      <c r="S33" s="165"/>
      <c r="T33" s="165"/>
      <c r="U33" s="165"/>
      <c r="V33" s="165"/>
      <c r="W33" s="165"/>
    </row>
    <row r="34" spans="2:23" s="34" customFormat="1" ht="27.75" customHeight="1">
      <c r="B34" s="166" t="s">
        <v>217</v>
      </c>
      <c r="C34" s="167"/>
      <c r="D34" s="167"/>
      <c r="E34" s="167"/>
      <c r="F34" s="167"/>
      <c r="G34" s="167"/>
      <c r="H34" s="167"/>
      <c r="I34" s="167"/>
      <c r="J34" s="167"/>
      <c r="K34" s="167"/>
      <c r="L34" s="167"/>
      <c r="M34" s="167"/>
      <c r="N34" s="167"/>
      <c r="O34" s="167"/>
      <c r="P34" s="167"/>
      <c r="Q34" s="167"/>
      <c r="R34" s="167"/>
      <c r="S34" s="167"/>
      <c r="T34" s="167"/>
      <c r="U34" s="167"/>
      <c r="V34" s="167"/>
      <c r="W34" s="168"/>
    </row>
    <row r="35" spans="2:23">
      <c r="B35" s="712" t="s">
        <v>191</v>
      </c>
      <c r="C35" s="713"/>
      <c r="D35" s="714"/>
      <c r="E35" s="715" t="s">
        <v>192</v>
      </c>
      <c r="F35" s="714"/>
      <c r="G35" s="715" t="s">
        <v>193</v>
      </c>
      <c r="H35" s="713"/>
      <c r="I35" s="713"/>
      <c r="J35" s="714"/>
      <c r="K35" s="715" t="s">
        <v>194</v>
      </c>
      <c r="L35" s="713"/>
      <c r="M35" s="713"/>
      <c r="N35" s="713"/>
      <c r="O35" s="713"/>
      <c r="P35" s="713"/>
      <c r="Q35" s="713"/>
      <c r="R35" s="713"/>
      <c r="S35" s="713"/>
      <c r="T35" s="713"/>
      <c r="U35" s="713"/>
      <c r="V35" s="713"/>
      <c r="W35" s="720"/>
    </row>
    <row r="36" spans="2:23" ht="24" customHeight="1">
      <c r="B36" s="721" t="s">
        <v>174</v>
      </c>
      <c r="C36" s="722"/>
      <c r="D36" s="723"/>
      <c r="E36" s="730" t="s">
        <v>195</v>
      </c>
      <c r="F36" s="731"/>
      <c r="G36" s="732">
        <v>26755200</v>
      </c>
      <c r="H36" s="733"/>
      <c r="I36" s="733"/>
      <c r="J36" s="169" t="s">
        <v>38</v>
      </c>
      <c r="K36" s="706" t="s">
        <v>693</v>
      </c>
      <c r="L36" s="707"/>
      <c r="M36" s="707"/>
      <c r="N36" s="707"/>
      <c r="O36" s="707"/>
      <c r="P36" s="707"/>
      <c r="Q36" s="707"/>
      <c r="R36" s="707"/>
      <c r="S36" s="707"/>
      <c r="T36" s="707"/>
      <c r="U36" s="707"/>
      <c r="V36" s="707"/>
      <c r="W36" s="708"/>
    </row>
    <row r="37" spans="2:23" ht="24" customHeight="1">
      <c r="B37" s="724"/>
      <c r="C37" s="725"/>
      <c r="D37" s="726"/>
      <c r="E37" s="734" t="s">
        <v>196</v>
      </c>
      <c r="F37" s="735"/>
      <c r="G37" s="736">
        <v>21988800</v>
      </c>
      <c r="H37" s="737"/>
      <c r="I37" s="737"/>
      <c r="J37" s="170" t="s">
        <v>38</v>
      </c>
      <c r="K37" s="703" t="s">
        <v>694</v>
      </c>
      <c r="L37" s="704"/>
      <c r="M37" s="704"/>
      <c r="N37" s="704"/>
      <c r="O37" s="704"/>
      <c r="P37" s="704"/>
      <c r="Q37" s="704"/>
      <c r="R37" s="704"/>
      <c r="S37" s="704"/>
      <c r="T37" s="704"/>
      <c r="U37" s="704"/>
      <c r="V37" s="704"/>
      <c r="W37" s="705"/>
    </row>
    <row r="38" spans="2:23" ht="24" customHeight="1">
      <c r="B38" s="727"/>
      <c r="C38" s="728"/>
      <c r="D38" s="729"/>
      <c r="E38" s="716" t="s">
        <v>197</v>
      </c>
      <c r="F38" s="717"/>
      <c r="G38" s="738">
        <v>34870800</v>
      </c>
      <c r="H38" s="739"/>
      <c r="I38" s="739"/>
      <c r="J38" s="171" t="s">
        <v>38</v>
      </c>
      <c r="K38" s="709" t="s">
        <v>696</v>
      </c>
      <c r="L38" s="710"/>
      <c r="M38" s="710"/>
      <c r="N38" s="710"/>
      <c r="O38" s="710"/>
      <c r="P38" s="710"/>
      <c r="Q38" s="710"/>
      <c r="R38" s="710"/>
      <c r="S38" s="710"/>
      <c r="T38" s="710"/>
      <c r="U38" s="710"/>
      <c r="V38" s="710"/>
      <c r="W38" s="711"/>
    </row>
    <row r="39" spans="2:23" ht="24" customHeight="1">
      <c r="B39" s="721" t="s">
        <v>198</v>
      </c>
      <c r="C39" s="722"/>
      <c r="D39" s="723"/>
      <c r="E39" s="730" t="s">
        <v>195</v>
      </c>
      <c r="F39" s="731"/>
      <c r="G39" s="732">
        <v>-1908560</v>
      </c>
      <c r="H39" s="733"/>
      <c r="I39" s="733"/>
      <c r="J39" s="172" t="s">
        <v>38</v>
      </c>
      <c r="K39" s="706" t="s">
        <v>697</v>
      </c>
      <c r="L39" s="707"/>
      <c r="M39" s="707"/>
      <c r="N39" s="707"/>
      <c r="O39" s="707"/>
      <c r="P39" s="707"/>
      <c r="Q39" s="707"/>
      <c r="R39" s="707"/>
      <c r="S39" s="707"/>
      <c r="T39" s="707"/>
      <c r="U39" s="707"/>
      <c r="V39" s="707"/>
      <c r="W39" s="708"/>
    </row>
    <row r="40" spans="2:23" ht="24" customHeight="1">
      <c r="B40" s="724"/>
      <c r="C40" s="725"/>
      <c r="D40" s="726"/>
      <c r="E40" s="734" t="s">
        <v>196</v>
      </c>
      <c r="F40" s="735"/>
      <c r="G40" s="736">
        <v>1651976</v>
      </c>
      <c r="H40" s="737"/>
      <c r="I40" s="737"/>
      <c r="J40" s="169" t="s">
        <v>38</v>
      </c>
      <c r="K40" s="703" t="s">
        <v>698</v>
      </c>
      <c r="L40" s="704"/>
      <c r="M40" s="704"/>
      <c r="N40" s="704"/>
      <c r="O40" s="704"/>
      <c r="P40" s="704"/>
      <c r="Q40" s="704"/>
      <c r="R40" s="704"/>
      <c r="S40" s="704"/>
      <c r="T40" s="704"/>
      <c r="U40" s="704"/>
      <c r="V40" s="704"/>
      <c r="W40" s="705"/>
    </row>
    <row r="41" spans="2:23" ht="24" customHeight="1">
      <c r="B41" s="727"/>
      <c r="C41" s="728"/>
      <c r="D41" s="729"/>
      <c r="E41" s="716" t="s">
        <v>197</v>
      </c>
      <c r="F41" s="717"/>
      <c r="G41" s="718">
        <v>4642194</v>
      </c>
      <c r="H41" s="719"/>
      <c r="I41" s="719"/>
      <c r="J41" s="173" t="s">
        <v>38</v>
      </c>
      <c r="K41" s="709" t="s">
        <v>695</v>
      </c>
      <c r="L41" s="710"/>
      <c r="M41" s="710"/>
      <c r="N41" s="710"/>
      <c r="O41" s="710"/>
      <c r="P41" s="710"/>
      <c r="Q41" s="710"/>
      <c r="R41" s="710"/>
      <c r="S41" s="710"/>
      <c r="T41" s="710"/>
      <c r="U41" s="710"/>
      <c r="V41" s="710"/>
      <c r="W41" s="711"/>
    </row>
    <row r="42" spans="2:23" s="34" customFormat="1" ht="27.75" customHeight="1">
      <c r="B42" s="166" t="s">
        <v>218</v>
      </c>
      <c r="C42" s="167"/>
      <c r="D42" s="167"/>
      <c r="E42" s="167"/>
      <c r="F42" s="167"/>
      <c r="G42" s="167"/>
      <c r="H42" s="167"/>
      <c r="I42" s="167"/>
      <c r="J42" s="167"/>
      <c r="K42" s="167"/>
      <c r="L42" s="167"/>
      <c r="M42" s="167"/>
      <c r="N42" s="167"/>
      <c r="O42" s="167"/>
      <c r="P42" s="167"/>
      <c r="Q42" s="167"/>
      <c r="R42" s="167"/>
      <c r="S42" s="167"/>
      <c r="T42" s="167"/>
      <c r="U42" s="167"/>
      <c r="V42" s="167"/>
      <c r="W42" s="168"/>
    </row>
    <row r="43" spans="2:23" ht="23.25" customHeight="1">
      <c r="B43" s="691" t="s">
        <v>699</v>
      </c>
      <c r="C43" s="692"/>
      <c r="D43" s="692"/>
      <c r="E43" s="692"/>
      <c r="F43" s="692"/>
      <c r="G43" s="692"/>
      <c r="H43" s="692"/>
      <c r="I43" s="692"/>
      <c r="J43" s="692"/>
      <c r="K43" s="692"/>
      <c r="L43" s="692"/>
      <c r="M43" s="692"/>
      <c r="N43" s="692"/>
      <c r="O43" s="692"/>
      <c r="P43" s="692"/>
      <c r="Q43" s="692"/>
      <c r="R43" s="692"/>
      <c r="S43" s="692"/>
      <c r="T43" s="692"/>
      <c r="U43" s="692"/>
      <c r="V43" s="692"/>
      <c r="W43" s="693"/>
    </row>
    <row r="44" spans="2:23" ht="23.25" customHeight="1">
      <c r="B44" s="694"/>
      <c r="C44" s="695"/>
      <c r="D44" s="695"/>
      <c r="E44" s="695"/>
      <c r="F44" s="695"/>
      <c r="G44" s="695"/>
      <c r="H44" s="695"/>
      <c r="I44" s="695"/>
      <c r="J44" s="695"/>
      <c r="K44" s="695"/>
      <c r="L44" s="695"/>
      <c r="M44" s="695"/>
      <c r="N44" s="695"/>
      <c r="O44" s="695"/>
      <c r="P44" s="695"/>
      <c r="Q44" s="695"/>
      <c r="R44" s="695"/>
      <c r="S44" s="695"/>
      <c r="T44" s="695"/>
      <c r="U44" s="695"/>
      <c r="V44" s="695"/>
      <c r="W44" s="696"/>
    </row>
    <row r="45" spans="2:23" ht="23.25" customHeight="1">
      <c r="B45" s="694"/>
      <c r="C45" s="695"/>
      <c r="D45" s="695"/>
      <c r="E45" s="695"/>
      <c r="F45" s="695"/>
      <c r="G45" s="695"/>
      <c r="H45" s="695"/>
      <c r="I45" s="695"/>
      <c r="J45" s="695"/>
      <c r="K45" s="695"/>
      <c r="L45" s="695"/>
      <c r="M45" s="695"/>
      <c r="N45" s="695"/>
      <c r="O45" s="695"/>
      <c r="P45" s="695"/>
      <c r="Q45" s="695"/>
      <c r="R45" s="695"/>
      <c r="S45" s="695"/>
      <c r="T45" s="695"/>
      <c r="U45" s="695"/>
      <c r="V45" s="695"/>
      <c r="W45" s="696"/>
    </row>
    <row r="46" spans="2:23" ht="23.25" customHeight="1">
      <c r="B46" s="697"/>
      <c r="C46" s="698"/>
      <c r="D46" s="698"/>
      <c r="E46" s="698"/>
      <c r="F46" s="698"/>
      <c r="G46" s="698"/>
      <c r="H46" s="698"/>
      <c r="I46" s="698"/>
      <c r="J46" s="698"/>
      <c r="K46" s="698"/>
      <c r="L46" s="698"/>
      <c r="M46" s="698"/>
      <c r="N46" s="698"/>
      <c r="O46" s="698"/>
      <c r="P46" s="698"/>
      <c r="Q46" s="698"/>
      <c r="R46" s="698"/>
      <c r="S46" s="698"/>
      <c r="T46" s="698"/>
      <c r="U46" s="698"/>
      <c r="V46" s="698"/>
      <c r="W46" s="699"/>
    </row>
  </sheetData>
  <sheetProtection algorithmName="SHA-512" hashValue="k72RNvC5xsuBuqxgYYT1JMrEhWxz5wAaLDhfrSh8yTR6W7kKVBvKD5PHxpr0OXW5qMY0MszGPREPUIiCea8+yg==" saltValue="hB5osQHOALPKl9BtMJ3tKw==" spinCount="100000" sheet="1" scenarios="1" formatCells="0"/>
  <mergeCells count="59">
    <mergeCell ref="G41:I41"/>
    <mergeCell ref="B20:C20"/>
    <mergeCell ref="D20:G20"/>
    <mergeCell ref="H20:I22"/>
    <mergeCell ref="B21:C21"/>
    <mergeCell ref="D21:G21"/>
    <mergeCell ref="B22:C22"/>
    <mergeCell ref="D22:G22"/>
    <mergeCell ref="G37:I37"/>
    <mergeCell ref="E38:F38"/>
    <mergeCell ref="G38:I38"/>
    <mergeCell ref="B30:D32"/>
    <mergeCell ref="E30:F30"/>
    <mergeCell ref="G30:I30"/>
    <mergeCell ref="E31:F31"/>
    <mergeCell ref="G31:I31"/>
    <mergeCell ref="J20:W22"/>
    <mergeCell ref="B2:W2"/>
    <mergeCell ref="B39:D41"/>
    <mergeCell ref="E39:F39"/>
    <mergeCell ref="G39:I39"/>
    <mergeCell ref="E40:F40"/>
    <mergeCell ref="G40:I40"/>
    <mergeCell ref="E41:F41"/>
    <mergeCell ref="B35:D35"/>
    <mergeCell ref="E35:F35"/>
    <mergeCell ref="G35:J35"/>
    <mergeCell ref="K35:W35"/>
    <mergeCell ref="B36:D38"/>
    <mergeCell ref="E36:F36"/>
    <mergeCell ref="G36:I36"/>
    <mergeCell ref="E37:F37"/>
    <mergeCell ref="E32:F32"/>
    <mergeCell ref="G32:I32"/>
    <mergeCell ref="G26:J26"/>
    <mergeCell ref="K26:W26"/>
    <mergeCell ref="B27:D29"/>
    <mergeCell ref="E27:F27"/>
    <mergeCell ref="G27:I27"/>
    <mergeCell ref="E28:F28"/>
    <mergeCell ref="G28:I28"/>
    <mergeCell ref="E29:F29"/>
    <mergeCell ref="G29:I29"/>
    <mergeCell ref="B3:W18"/>
    <mergeCell ref="B43:W46"/>
    <mergeCell ref="K27:W27"/>
    <mergeCell ref="K28:W28"/>
    <mergeCell ref="K29:W29"/>
    <mergeCell ref="K30:W30"/>
    <mergeCell ref="K31:W31"/>
    <mergeCell ref="K32:W32"/>
    <mergeCell ref="K36:W36"/>
    <mergeCell ref="K37:W37"/>
    <mergeCell ref="K38:W38"/>
    <mergeCell ref="K39:W39"/>
    <mergeCell ref="K40:W40"/>
    <mergeCell ref="K41:W41"/>
    <mergeCell ref="B26:D26"/>
    <mergeCell ref="E26:F26"/>
  </mergeCells>
  <phoneticPr fontId="41"/>
  <dataValidations count="3">
    <dataValidation type="whole" operator="greaterThanOrEqual" allowBlank="1" showInputMessage="1" showErrorMessage="1" errorTitle="エラー" error="整数を入力してください。単位は「円」です。マイナスの場合は「-(金額)」と入力願います。" sqref="G39:I41 G30:I30" xr:uid="{00000000-0002-0000-0600-000000000000}">
      <formula1>-10000000000000000</formula1>
    </dataValidation>
    <dataValidation type="whole" operator="greaterThanOrEqual" allowBlank="1" showInputMessage="1" showErrorMessage="1" errorTitle="エラー" error="整数を入力してください。単位は「円」です。" sqref="G27:I29 G36:I38" xr:uid="{00000000-0002-0000-0600-000001000000}">
      <formula1>-10000000000000000</formula1>
    </dataValidation>
    <dataValidation type="whole" operator="greaterThanOrEqual" allowBlank="1" showInputMessage="1" showErrorMessage="1" errorTitle="エラー" error="整数を入力してください。単位は「円」です。マイナスの場合は「-」と入力願います。" sqref="G31:I32" xr:uid="{00000000-0002-0000-0600-000002000000}">
      <formula1>-10000000000000000</formula1>
    </dataValidation>
  </dataValidations>
  <printOptions horizontalCentered="1"/>
  <pageMargins left="0.70866141732283472" right="0.70866141732283472" top="0.74803149606299213" bottom="0.74803149606299213" header="0.31496062992125984" footer="0.31496062992125984"/>
  <pageSetup paperSize="9" scale="74"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B2:W70"/>
  <sheetViews>
    <sheetView view="pageBreakPreview" topLeftCell="A3" zoomScale="183" zoomScaleNormal="100" zoomScaleSheetLayoutView="183" workbookViewId="0">
      <selection activeCell="B22" sqref="B22:U35"/>
    </sheetView>
  </sheetViews>
  <sheetFormatPr baseColWidth="10" defaultColWidth="8.5" defaultRowHeight="18"/>
  <cols>
    <col min="1" max="1" width="0.83203125" style="31" customWidth="1"/>
    <col min="2" max="21" width="5.5" style="31" customWidth="1"/>
    <col min="22" max="22" width="0.83203125" style="31" customWidth="1"/>
    <col min="23" max="16384" width="8.5" style="31"/>
  </cols>
  <sheetData>
    <row r="2" spans="2:23" ht="24">
      <c r="B2" s="51" t="s">
        <v>225</v>
      </c>
      <c r="C2" s="50"/>
      <c r="D2" s="51"/>
      <c r="E2" s="51"/>
      <c r="F2" s="51"/>
      <c r="G2" s="51"/>
      <c r="H2" s="51"/>
      <c r="I2" s="51"/>
      <c r="J2" s="51"/>
      <c r="K2" s="51"/>
      <c r="L2" s="51"/>
      <c r="M2" s="51"/>
      <c r="N2" s="51"/>
      <c r="O2" s="51"/>
      <c r="P2" s="51"/>
      <c r="Q2" s="51"/>
      <c r="R2" s="51"/>
      <c r="S2" s="51"/>
      <c r="T2" s="51"/>
      <c r="U2" s="51"/>
      <c r="V2" s="51"/>
      <c r="W2" s="51"/>
    </row>
    <row r="3" spans="2:23">
      <c r="B3" s="766" t="s">
        <v>226</v>
      </c>
      <c r="C3" s="767"/>
      <c r="D3" s="767"/>
      <c r="E3" s="767"/>
      <c r="F3" s="767"/>
      <c r="G3" s="767"/>
      <c r="H3" s="767"/>
      <c r="I3" s="767"/>
      <c r="J3" s="767"/>
      <c r="K3" s="767"/>
      <c r="L3" s="767"/>
      <c r="M3" s="767"/>
      <c r="N3" s="767"/>
      <c r="O3" s="767"/>
      <c r="P3" s="767"/>
      <c r="Q3" s="767"/>
      <c r="R3" s="767"/>
      <c r="S3" s="767"/>
      <c r="T3" s="767"/>
      <c r="U3" s="768"/>
    </row>
    <row r="4" spans="2:23">
      <c r="B4" s="769"/>
      <c r="C4" s="770"/>
      <c r="D4" s="770"/>
      <c r="E4" s="770"/>
      <c r="F4" s="770"/>
      <c r="G4" s="770"/>
      <c r="H4" s="770"/>
      <c r="I4" s="770"/>
      <c r="J4" s="770"/>
      <c r="K4" s="770"/>
      <c r="L4" s="770"/>
      <c r="M4" s="770"/>
      <c r="N4" s="770"/>
      <c r="O4" s="770"/>
      <c r="P4" s="770"/>
      <c r="Q4" s="770"/>
      <c r="R4" s="770"/>
      <c r="S4" s="770"/>
      <c r="T4" s="770"/>
      <c r="U4" s="771"/>
    </row>
    <row r="5" spans="2:23" ht="18" customHeight="1">
      <c r="B5" s="772" t="s">
        <v>700</v>
      </c>
      <c r="C5" s="773"/>
      <c r="D5" s="773"/>
      <c r="E5" s="773"/>
      <c r="F5" s="773"/>
      <c r="G5" s="773"/>
      <c r="H5" s="773"/>
      <c r="I5" s="773"/>
      <c r="J5" s="773"/>
      <c r="K5" s="773"/>
      <c r="L5" s="773"/>
      <c r="M5" s="773"/>
      <c r="N5" s="773"/>
      <c r="O5" s="773"/>
      <c r="P5" s="773"/>
      <c r="Q5" s="773"/>
      <c r="R5" s="773"/>
      <c r="S5" s="773"/>
      <c r="T5" s="773"/>
      <c r="U5" s="774"/>
    </row>
    <row r="6" spans="2:23">
      <c r="B6" s="775"/>
      <c r="C6" s="776"/>
      <c r="D6" s="776"/>
      <c r="E6" s="776"/>
      <c r="F6" s="776"/>
      <c r="G6" s="776"/>
      <c r="H6" s="776"/>
      <c r="I6" s="776"/>
      <c r="J6" s="776"/>
      <c r="K6" s="776"/>
      <c r="L6" s="776"/>
      <c r="M6" s="776"/>
      <c r="N6" s="776"/>
      <c r="O6" s="776"/>
      <c r="P6" s="776"/>
      <c r="Q6" s="776"/>
      <c r="R6" s="776"/>
      <c r="S6" s="776"/>
      <c r="T6" s="776"/>
      <c r="U6" s="777"/>
    </row>
    <row r="7" spans="2:23">
      <c r="B7" s="775"/>
      <c r="C7" s="776"/>
      <c r="D7" s="776"/>
      <c r="E7" s="776"/>
      <c r="F7" s="776"/>
      <c r="G7" s="776"/>
      <c r="H7" s="776"/>
      <c r="I7" s="776"/>
      <c r="J7" s="776"/>
      <c r="K7" s="776"/>
      <c r="L7" s="776"/>
      <c r="M7" s="776"/>
      <c r="N7" s="776"/>
      <c r="O7" s="776"/>
      <c r="P7" s="776"/>
      <c r="Q7" s="776"/>
      <c r="R7" s="776"/>
      <c r="S7" s="776"/>
      <c r="T7" s="776"/>
      <c r="U7" s="777"/>
    </row>
    <row r="8" spans="2:23">
      <c r="B8" s="775"/>
      <c r="C8" s="776"/>
      <c r="D8" s="776"/>
      <c r="E8" s="776"/>
      <c r="F8" s="776"/>
      <c r="G8" s="776"/>
      <c r="H8" s="776"/>
      <c r="I8" s="776"/>
      <c r="J8" s="776"/>
      <c r="K8" s="776"/>
      <c r="L8" s="776"/>
      <c r="M8" s="776"/>
      <c r="N8" s="776"/>
      <c r="O8" s="776"/>
      <c r="P8" s="776"/>
      <c r="Q8" s="776"/>
      <c r="R8" s="776"/>
      <c r="S8" s="776"/>
      <c r="T8" s="776"/>
      <c r="U8" s="777"/>
    </row>
    <row r="9" spans="2:23">
      <c r="B9" s="775"/>
      <c r="C9" s="776"/>
      <c r="D9" s="776"/>
      <c r="E9" s="776"/>
      <c r="F9" s="776"/>
      <c r="G9" s="776"/>
      <c r="H9" s="776"/>
      <c r="I9" s="776"/>
      <c r="J9" s="776"/>
      <c r="K9" s="776"/>
      <c r="L9" s="776"/>
      <c r="M9" s="776"/>
      <c r="N9" s="776"/>
      <c r="O9" s="776"/>
      <c r="P9" s="776"/>
      <c r="Q9" s="776"/>
      <c r="R9" s="776"/>
      <c r="S9" s="776"/>
      <c r="T9" s="776"/>
      <c r="U9" s="777"/>
    </row>
    <row r="10" spans="2:23">
      <c r="B10" s="775"/>
      <c r="C10" s="776"/>
      <c r="D10" s="776"/>
      <c r="E10" s="776"/>
      <c r="F10" s="776"/>
      <c r="G10" s="776"/>
      <c r="H10" s="776"/>
      <c r="I10" s="776"/>
      <c r="J10" s="776"/>
      <c r="K10" s="776"/>
      <c r="L10" s="776"/>
      <c r="M10" s="776"/>
      <c r="N10" s="776"/>
      <c r="O10" s="776"/>
      <c r="P10" s="776"/>
      <c r="Q10" s="776"/>
      <c r="R10" s="776"/>
      <c r="S10" s="776"/>
      <c r="T10" s="776"/>
      <c r="U10" s="777"/>
    </row>
    <row r="11" spans="2:23">
      <c r="B11" s="775"/>
      <c r="C11" s="776"/>
      <c r="D11" s="776"/>
      <c r="E11" s="776"/>
      <c r="F11" s="776"/>
      <c r="G11" s="776"/>
      <c r="H11" s="776"/>
      <c r="I11" s="776"/>
      <c r="J11" s="776"/>
      <c r="K11" s="776"/>
      <c r="L11" s="776"/>
      <c r="M11" s="776"/>
      <c r="N11" s="776"/>
      <c r="O11" s="776"/>
      <c r="P11" s="776"/>
      <c r="Q11" s="776"/>
      <c r="R11" s="776"/>
      <c r="S11" s="776"/>
      <c r="T11" s="776"/>
      <c r="U11" s="777"/>
    </row>
    <row r="12" spans="2:23" ht="18" customHeight="1">
      <c r="B12" s="775"/>
      <c r="C12" s="776"/>
      <c r="D12" s="776"/>
      <c r="E12" s="776"/>
      <c r="F12" s="776"/>
      <c r="G12" s="776"/>
      <c r="H12" s="776"/>
      <c r="I12" s="776"/>
      <c r="J12" s="776"/>
      <c r="K12" s="776"/>
      <c r="L12" s="776"/>
      <c r="M12" s="776"/>
      <c r="N12" s="776"/>
      <c r="O12" s="776"/>
      <c r="P12" s="776"/>
      <c r="Q12" s="776"/>
      <c r="R12" s="776"/>
      <c r="S12" s="776"/>
      <c r="T12" s="776"/>
      <c r="U12" s="777"/>
    </row>
    <row r="13" spans="2:23">
      <c r="B13" s="775"/>
      <c r="C13" s="776"/>
      <c r="D13" s="776"/>
      <c r="E13" s="776"/>
      <c r="F13" s="776"/>
      <c r="G13" s="776"/>
      <c r="H13" s="776"/>
      <c r="I13" s="776"/>
      <c r="J13" s="776"/>
      <c r="K13" s="776"/>
      <c r="L13" s="776"/>
      <c r="M13" s="776"/>
      <c r="N13" s="776"/>
      <c r="O13" s="776"/>
      <c r="P13" s="776"/>
      <c r="Q13" s="776"/>
      <c r="R13" s="776"/>
      <c r="S13" s="776"/>
      <c r="T13" s="776"/>
      <c r="U13" s="777"/>
    </row>
    <row r="14" spans="2:23">
      <c r="B14" s="775"/>
      <c r="C14" s="776"/>
      <c r="D14" s="776"/>
      <c r="E14" s="776"/>
      <c r="F14" s="776"/>
      <c r="G14" s="776"/>
      <c r="H14" s="776"/>
      <c r="I14" s="776"/>
      <c r="J14" s="776"/>
      <c r="K14" s="776"/>
      <c r="L14" s="776"/>
      <c r="M14" s="776"/>
      <c r="N14" s="776"/>
      <c r="O14" s="776"/>
      <c r="P14" s="776"/>
      <c r="Q14" s="776"/>
      <c r="R14" s="776"/>
      <c r="S14" s="776"/>
      <c r="T14" s="776"/>
      <c r="U14" s="777"/>
    </row>
    <row r="15" spans="2:23">
      <c r="B15" s="775"/>
      <c r="C15" s="776"/>
      <c r="D15" s="776"/>
      <c r="E15" s="776"/>
      <c r="F15" s="776"/>
      <c r="G15" s="776"/>
      <c r="H15" s="776"/>
      <c r="I15" s="776"/>
      <c r="J15" s="776"/>
      <c r="K15" s="776"/>
      <c r="L15" s="776"/>
      <c r="M15" s="776"/>
      <c r="N15" s="776"/>
      <c r="O15" s="776"/>
      <c r="P15" s="776"/>
      <c r="Q15" s="776"/>
      <c r="R15" s="776"/>
      <c r="S15" s="776"/>
      <c r="T15" s="776"/>
      <c r="U15" s="777"/>
    </row>
    <row r="16" spans="2:23">
      <c r="B16" s="775"/>
      <c r="C16" s="776"/>
      <c r="D16" s="776"/>
      <c r="E16" s="776"/>
      <c r="F16" s="776"/>
      <c r="G16" s="776"/>
      <c r="H16" s="776"/>
      <c r="I16" s="776"/>
      <c r="J16" s="776"/>
      <c r="K16" s="776"/>
      <c r="L16" s="776"/>
      <c r="M16" s="776"/>
      <c r="N16" s="776"/>
      <c r="O16" s="776"/>
      <c r="P16" s="776"/>
      <c r="Q16" s="776"/>
      <c r="R16" s="776"/>
      <c r="S16" s="776"/>
      <c r="T16" s="776"/>
      <c r="U16" s="777"/>
    </row>
    <row r="17" spans="2:21">
      <c r="B17" s="775"/>
      <c r="C17" s="776"/>
      <c r="D17" s="776"/>
      <c r="E17" s="776"/>
      <c r="F17" s="776"/>
      <c r="G17" s="776"/>
      <c r="H17" s="776"/>
      <c r="I17" s="776"/>
      <c r="J17" s="776"/>
      <c r="K17" s="776"/>
      <c r="L17" s="776"/>
      <c r="M17" s="776"/>
      <c r="N17" s="776"/>
      <c r="O17" s="776"/>
      <c r="P17" s="776"/>
      <c r="Q17" s="776"/>
      <c r="R17" s="776"/>
      <c r="S17" s="776"/>
      <c r="T17" s="776"/>
      <c r="U17" s="777"/>
    </row>
    <row r="18" spans="2:21">
      <c r="B18" s="778"/>
      <c r="C18" s="779"/>
      <c r="D18" s="779"/>
      <c r="E18" s="779"/>
      <c r="F18" s="779"/>
      <c r="G18" s="779"/>
      <c r="H18" s="779"/>
      <c r="I18" s="779"/>
      <c r="J18" s="779"/>
      <c r="K18" s="779"/>
      <c r="L18" s="779"/>
      <c r="M18" s="779"/>
      <c r="N18" s="779"/>
      <c r="O18" s="779"/>
      <c r="P18" s="779"/>
      <c r="Q18" s="779"/>
      <c r="R18" s="779"/>
      <c r="S18" s="779"/>
      <c r="T18" s="779"/>
      <c r="U18" s="780"/>
    </row>
    <row r="19" spans="2:21" ht="24.75" customHeight="1">
      <c r="B19" s="174"/>
      <c r="C19" s="174"/>
      <c r="D19" s="174"/>
      <c r="E19" s="174"/>
      <c r="F19" s="174"/>
      <c r="G19" s="174"/>
      <c r="H19" s="174"/>
      <c r="I19" s="174"/>
      <c r="J19" s="174"/>
      <c r="K19" s="174"/>
      <c r="L19" s="174"/>
      <c r="M19" s="174"/>
      <c r="N19" s="174"/>
      <c r="O19" s="174"/>
      <c r="P19" s="174"/>
      <c r="Q19" s="174"/>
      <c r="R19" s="174"/>
      <c r="S19" s="174"/>
      <c r="T19" s="174"/>
      <c r="U19" s="174"/>
    </row>
    <row r="20" spans="2:21">
      <c r="B20" s="781" t="s">
        <v>227</v>
      </c>
      <c r="C20" s="782"/>
      <c r="D20" s="782"/>
      <c r="E20" s="782"/>
      <c r="F20" s="782"/>
      <c r="G20" s="782"/>
      <c r="H20" s="782"/>
      <c r="I20" s="782"/>
      <c r="J20" s="782"/>
      <c r="K20" s="782"/>
      <c r="L20" s="782"/>
      <c r="M20" s="782"/>
      <c r="N20" s="782"/>
      <c r="O20" s="782"/>
      <c r="P20" s="782"/>
      <c r="Q20" s="782"/>
      <c r="R20" s="782"/>
      <c r="S20" s="782"/>
      <c r="T20" s="782"/>
      <c r="U20" s="783"/>
    </row>
    <row r="21" spans="2:21">
      <c r="B21" s="784"/>
      <c r="C21" s="785"/>
      <c r="D21" s="785"/>
      <c r="E21" s="785"/>
      <c r="F21" s="785"/>
      <c r="G21" s="785"/>
      <c r="H21" s="785"/>
      <c r="I21" s="785"/>
      <c r="J21" s="785"/>
      <c r="K21" s="785"/>
      <c r="L21" s="785"/>
      <c r="M21" s="785"/>
      <c r="N21" s="785"/>
      <c r="O21" s="785"/>
      <c r="P21" s="785"/>
      <c r="Q21" s="785"/>
      <c r="R21" s="785"/>
      <c r="S21" s="785"/>
      <c r="T21" s="785"/>
      <c r="U21" s="786"/>
    </row>
    <row r="22" spans="2:21">
      <c r="B22" s="772" t="s">
        <v>674</v>
      </c>
      <c r="C22" s="773"/>
      <c r="D22" s="773"/>
      <c r="E22" s="773"/>
      <c r="F22" s="773"/>
      <c r="G22" s="773"/>
      <c r="H22" s="773"/>
      <c r="I22" s="773"/>
      <c r="J22" s="773"/>
      <c r="K22" s="773"/>
      <c r="L22" s="773"/>
      <c r="M22" s="773"/>
      <c r="N22" s="773"/>
      <c r="O22" s="773"/>
      <c r="P22" s="773"/>
      <c r="Q22" s="773"/>
      <c r="R22" s="773"/>
      <c r="S22" s="773"/>
      <c r="T22" s="773"/>
      <c r="U22" s="774"/>
    </row>
    <row r="23" spans="2:21">
      <c r="B23" s="775"/>
      <c r="C23" s="776"/>
      <c r="D23" s="776"/>
      <c r="E23" s="776"/>
      <c r="F23" s="776"/>
      <c r="G23" s="776"/>
      <c r="H23" s="776"/>
      <c r="I23" s="776"/>
      <c r="J23" s="776"/>
      <c r="K23" s="776"/>
      <c r="L23" s="776"/>
      <c r="M23" s="776"/>
      <c r="N23" s="776"/>
      <c r="O23" s="776"/>
      <c r="P23" s="776"/>
      <c r="Q23" s="776"/>
      <c r="R23" s="776"/>
      <c r="S23" s="776"/>
      <c r="T23" s="776"/>
      <c r="U23" s="777"/>
    </row>
    <row r="24" spans="2:21">
      <c r="B24" s="775"/>
      <c r="C24" s="776"/>
      <c r="D24" s="776"/>
      <c r="E24" s="776"/>
      <c r="F24" s="776"/>
      <c r="G24" s="776"/>
      <c r="H24" s="776"/>
      <c r="I24" s="776"/>
      <c r="J24" s="776"/>
      <c r="K24" s="776"/>
      <c r="L24" s="776"/>
      <c r="M24" s="776"/>
      <c r="N24" s="776"/>
      <c r="O24" s="776"/>
      <c r="P24" s="776"/>
      <c r="Q24" s="776"/>
      <c r="R24" s="776"/>
      <c r="S24" s="776"/>
      <c r="T24" s="776"/>
      <c r="U24" s="777"/>
    </row>
    <row r="25" spans="2:21">
      <c r="B25" s="775"/>
      <c r="C25" s="776"/>
      <c r="D25" s="776"/>
      <c r="E25" s="776"/>
      <c r="F25" s="776"/>
      <c r="G25" s="776"/>
      <c r="H25" s="776"/>
      <c r="I25" s="776"/>
      <c r="J25" s="776"/>
      <c r="K25" s="776"/>
      <c r="L25" s="776"/>
      <c r="M25" s="776"/>
      <c r="N25" s="776"/>
      <c r="O25" s="776"/>
      <c r="P25" s="776"/>
      <c r="Q25" s="776"/>
      <c r="R25" s="776"/>
      <c r="S25" s="776"/>
      <c r="T25" s="776"/>
      <c r="U25" s="777"/>
    </row>
    <row r="26" spans="2:21">
      <c r="B26" s="775"/>
      <c r="C26" s="776"/>
      <c r="D26" s="776"/>
      <c r="E26" s="776"/>
      <c r="F26" s="776"/>
      <c r="G26" s="776"/>
      <c r="H26" s="776"/>
      <c r="I26" s="776"/>
      <c r="J26" s="776"/>
      <c r="K26" s="776"/>
      <c r="L26" s="776"/>
      <c r="M26" s="776"/>
      <c r="N26" s="776"/>
      <c r="O26" s="776"/>
      <c r="P26" s="776"/>
      <c r="Q26" s="776"/>
      <c r="R26" s="776"/>
      <c r="S26" s="776"/>
      <c r="T26" s="776"/>
      <c r="U26" s="777"/>
    </row>
    <row r="27" spans="2:21">
      <c r="B27" s="775"/>
      <c r="C27" s="776"/>
      <c r="D27" s="776"/>
      <c r="E27" s="776"/>
      <c r="F27" s="776"/>
      <c r="G27" s="776"/>
      <c r="H27" s="776"/>
      <c r="I27" s="776"/>
      <c r="J27" s="776"/>
      <c r="K27" s="776"/>
      <c r="L27" s="776"/>
      <c r="M27" s="776"/>
      <c r="N27" s="776"/>
      <c r="O27" s="776"/>
      <c r="P27" s="776"/>
      <c r="Q27" s="776"/>
      <c r="R27" s="776"/>
      <c r="S27" s="776"/>
      <c r="T27" s="776"/>
      <c r="U27" s="777"/>
    </row>
    <row r="28" spans="2:21">
      <c r="B28" s="775"/>
      <c r="C28" s="776"/>
      <c r="D28" s="776"/>
      <c r="E28" s="776"/>
      <c r="F28" s="776"/>
      <c r="G28" s="776"/>
      <c r="H28" s="776"/>
      <c r="I28" s="776"/>
      <c r="J28" s="776"/>
      <c r="K28" s="776"/>
      <c r="L28" s="776"/>
      <c r="M28" s="776"/>
      <c r="N28" s="776"/>
      <c r="O28" s="776"/>
      <c r="P28" s="776"/>
      <c r="Q28" s="776"/>
      <c r="R28" s="776"/>
      <c r="S28" s="776"/>
      <c r="T28" s="776"/>
      <c r="U28" s="777"/>
    </row>
    <row r="29" spans="2:21">
      <c r="B29" s="775"/>
      <c r="C29" s="776"/>
      <c r="D29" s="776"/>
      <c r="E29" s="776"/>
      <c r="F29" s="776"/>
      <c r="G29" s="776"/>
      <c r="H29" s="776"/>
      <c r="I29" s="776"/>
      <c r="J29" s="776"/>
      <c r="K29" s="776"/>
      <c r="L29" s="776"/>
      <c r="M29" s="776"/>
      <c r="N29" s="776"/>
      <c r="O29" s="776"/>
      <c r="P29" s="776"/>
      <c r="Q29" s="776"/>
      <c r="R29" s="776"/>
      <c r="S29" s="776"/>
      <c r="T29" s="776"/>
      <c r="U29" s="777"/>
    </row>
    <row r="30" spans="2:21">
      <c r="B30" s="775"/>
      <c r="C30" s="776"/>
      <c r="D30" s="776"/>
      <c r="E30" s="776"/>
      <c r="F30" s="776"/>
      <c r="G30" s="776"/>
      <c r="H30" s="776"/>
      <c r="I30" s="776"/>
      <c r="J30" s="776"/>
      <c r="K30" s="776"/>
      <c r="L30" s="776"/>
      <c r="M30" s="776"/>
      <c r="N30" s="776"/>
      <c r="O30" s="776"/>
      <c r="P30" s="776"/>
      <c r="Q30" s="776"/>
      <c r="R30" s="776"/>
      <c r="S30" s="776"/>
      <c r="T30" s="776"/>
      <c r="U30" s="777"/>
    </row>
    <row r="31" spans="2:21">
      <c r="B31" s="775"/>
      <c r="C31" s="776"/>
      <c r="D31" s="776"/>
      <c r="E31" s="776"/>
      <c r="F31" s="776"/>
      <c r="G31" s="776"/>
      <c r="H31" s="776"/>
      <c r="I31" s="776"/>
      <c r="J31" s="776"/>
      <c r="K31" s="776"/>
      <c r="L31" s="776"/>
      <c r="M31" s="776"/>
      <c r="N31" s="776"/>
      <c r="O31" s="776"/>
      <c r="P31" s="776"/>
      <c r="Q31" s="776"/>
      <c r="R31" s="776"/>
      <c r="S31" s="776"/>
      <c r="T31" s="776"/>
      <c r="U31" s="777"/>
    </row>
    <row r="32" spans="2:21">
      <c r="B32" s="775"/>
      <c r="C32" s="776"/>
      <c r="D32" s="776"/>
      <c r="E32" s="776"/>
      <c r="F32" s="776"/>
      <c r="G32" s="776"/>
      <c r="H32" s="776"/>
      <c r="I32" s="776"/>
      <c r="J32" s="776"/>
      <c r="K32" s="776"/>
      <c r="L32" s="776"/>
      <c r="M32" s="776"/>
      <c r="N32" s="776"/>
      <c r="O32" s="776"/>
      <c r="P32" s="776"/>
      <c r="Q32" s="776"/>
      <c r="R32" s="776"/>
      <c r="S32" s="776"/>
      <c r="T32" s="776"/>
      <c r="U32" s="777"/>
    </row>
    <row r="33" spans="2:22">
      <c r="B33" s="775"/>
      <c r="C33" s="776"/>
      <c r="D33" s="776"/>
      <c r="E33" s="776"/>
      <c r="F33" s="776"/>
      <c r="G33" s="776"/>
      <c r="H33" s="776"/>
      <c r="I33" s="776"/>
      <c r="J33" s="776"/>
      <c r="K33" s="776"/>
      <c r="L33" s="776"/>
      <c r="M33" s="776"/>
      <c r="N33" s="776"/>
      <c r="O33" s="776"/>
      <c r="P33" s="776"/>
      <c r="Q33" s="776"/>
      <c r="R33" s="776"/>
      <c r="S33" s="776"/>
      <c r="T33" s="776"/>
      <c r="U33" s="777"/>
    </row>
    <row r="34" spans="2:22">
      <c r="B34" s="775"/>
      <c r="C34" s="776"/>
      <c r="D34" s="776"/>
      <c r="E34" s="776"/>
      <c r="F34" s="776"/>
      <c r="G34" s="776"/>
      <c r="H34" s="776"/>
      <c r="I34" s="776"/>
      <c r="J34" s="776"/>
      <c r="K34" s="776"/>
      <c r="L34" s="776"/>
      <c r="M34" s="776"/>
      <c r="N34" s="776"/>
      <c r="O34" s="776"/>
      <c r="P34" s="776"/>
      <c r="Q34" s="776"/>
      <c r="R34" s="776"/>
      <c r="S34" s="776"/>
      <c r="T34" s="776"/>
      <c r="U34" s="777"/>
    </row>
    <row r="35" spans="2:22">
      <c r="B35" s="778"/>
      <c r="C35" s="779"/>
      <c r="D35" s="779"/>
      <c r="E35" s="779"/>
      <c r="F35" s="779"/>
      <c r="G35" s="779"/>
      <c r="H35" s="779"/>
      <c r="I35" s="779"/>
      <c r="J35" s="779"/>
      <c r="K35" s="779"/>
      <c r="L35" s="779"/>
      <c r="M35" s="779"/>
      <c r="N35" s="779"/>
      <c r="O35" s="779"/>
      <c r="P35" s="779"/>
      <c r="Q35" s="779"/>
      <c r="R35" s="779"/>
      <c r="S35" s="779"/>
      <c r="T35" s="779"/>
      <c r="U35" s="780"/>
    </row>
    <row r="36" spans="2:22" ht="18" customHeight="1">
      <c r="B36" s="174"/>
      <c r="C36" s="174"/>
      <c r="D36" s="174"/>
      <c r="E36" s="174"/>
      <c r="F36" s="174"/>
      <c r="G36" s="174"/>
      <c r="H36" s="174"/>
      <c r="I36" s="174"/>
      <c r="J36" s="174"/>
      <c r="K36" s="174"/>
      <c r="L36" s="174"/>
      <c r="M36" s="174"/>
      <c r="N36" s="174"/>
      <c r="O36" s="174"/>
      <c r="P36" s="174"/>
      <c r="Q36" s="174"/>
      <c r="R36" s="174"/>
      <c r="S36" s="174"/>
      <c r="T36" s="174"/>
      <c r="U36" s="174"/>
    </row>
    <row r="37" spans="2:22" ht="18" customHeight="1">
      <c r="B37" s="174"/>
      <c r="C37" s="174"/>
      <c r="D37" s="174"/>
      <c r="E37" s="174"/>
      <c r="F37" s="174"/>
      <c r="G37" s="174"/>
      <c r="H37" s="174"/>
      <c r="I37" s="174"/>
      <c r="J37" s="174"/>
      <c r="K37" s="174"/>
      <c r="L37" s="174"/>
      <c r="M37" s="174"/>
      <c r="N37" s="174"/>
      <c r="O37" s="174"/>
      <c r="P37" s="174"/>
      <c r="Q37" s="174"/>
      <c r="R37" s="174"/>
      <c r="S37" s="174"/>
      <c r="T37" s="174"/>
      <c r="U37" s="174"/>
    </row>
    <row r="38" spans="2:22" ht="20">
      <c r="B38" s="175" t="s">
        <v>222</v>
      </c>
      <c r="C38" s="175"/>
      <c r="D38" s="175"/>
      <c r="E38" s="175"/>
      <c r="F38" s="175"/>
      <c r="G38" s="175"/>
      <c r="H38" s="175"/>
      <c r="I38" s="175"/>
      <c r="J38" s="175"/>
      <c r="K38" s="175"/>
      <c r="L38" s="175"/>
      <c r="M38" s="175"/>
      <c r="N38" s="175"/>
      <c r="O38" s="175"/>
      <c r="P38" s="175"/>
      <c r="Q38" s="175"/>
      <c r="R38" s="175"/>
      <c r="S38" s="175"/>
      <c r="T38" s="175"/>
      <c r="U38" s="175"/>
      <c r="V38" s="51"/>
    </row>
    <row r="39" spans="2:22">
      <c r="B39" s="787" t="s">
        <v>215</v>
      </c>
      <c r="C39" s="788"/>
      <c r="D39" s="788"/>
      <c r="E39" s="788"/>
      <c r="F39" s="788"/>
      <c r="G39" s="788"/>
      <c r="H39" s="788"/>
      <c r="I39" s="788"/>
      <c r="J39" s="788"/>
      <c r="K39" s="788"/>
      <c r="L39" s="788"/>
      <c r="M39" s="788"/>
      <c r="N39" s="788"/>
      <c r="O39" s="788"/>
      <c r="P39" s="788"/>
      <c r="Q39" s="788"/>
      <c r="R39" s="788"/>
      <c r="S39" s="788"/>
      <c r="T39" s="788"/>
      <c r="U39" s="789"/>
    </row>
    <row r="40" spans="2:22">
      <c r="B40" s="790"/>
      <c r="C40" s="791"/>
      <c r="D40" s="791"/>
      <c r="E40" s="791"/>
      <c r="F40" s="791"/>
      <c r="G40" s="791"/>
      <c r="H40" s="791"/>
      <c r="I40" s="791"/>
      <c r="J40" s="791"/>
      <c r="K40" s="791"/>
      <c r="L40" s="791"/>
      <c r="M40" s="791"/>
      <c r="N40" s="791"/>
      <c r="O40" s="791"/>
      <c r="P40" s="791"/>
      <c r="Q40" s="791"/>
      <c r="R40" s="791"/>
      <c r="S40" s="791"/>
      <c r="T40" s="791"/>
      <c r="U40" s="792"/>
    </row>
    <row r="41" spans="2:22">
      <c r="B41" s="802" t="s">
        <v>675</v>
      </c>
      <c r="C41" s="803"/>
      <c r="D41" s="803"/>
      <c r="E41" s="803"/>
      <c r="F41" s="803"/>
      <c r="G41" s="803"/>
      <c r="H41" s="803"/>
      <c r="I41" s="803"/>
      <c r="J41" s="803"/>
      <c r="K41" s="803"/>
      <c r="L41" s="803"/>
      <c r="M41" s="803"/>
      <c r="N41" s="803"/>
      <c r="O41" s="803"/>
      <c r="P41" s="803"/>
      <c r="Q41" s="803"/>
      <c r="R41" s="803"/>
      <c r="S41" s="803"/>
      <c r="T41" s="803"/>
      <c r="U41" s="804"/>
    </row>
    <row r="42" spans="2:22">
      <c r="B42" s="805"/>
      <c r="C42" s="806"/>
      <c r="D42" s="806"/>
      <c r="E42" s="806"/>
      <c r="F42" s="806"/>
      <c r="G42" s="806"/>
      <c r="H42" s="806"/>
      <c r="I42" s="806"/>
      <c r="J42" s="806"/>
      <c r="K42" s="806"/>
      <c r="L42" s="806"/>
      <c r="M42" s="806"/>
      <c r="N42" s="806"/>
      <c r="O42" s="806"/>
      <c r="P42" s="806"/>
      <c r="Q42" s="806"/>
      <c r="R42" s="806"/>
      <c r="S42" s="806"/>
      <c r="T42" s="806"/>
      <c r="U42" s="807"/>
    </row>
    <row r="43" spans="2:22">
      <c r="B43" s="805"/>
      <c r="C43" s="806"/>
      <c r="D43" s="806"/>
      <c r="E43" s="806"/>
      <c r="F43" s="806"/>
      <c r="G43" s="806"/>
      <c r="H43" s="806"/>
      <c r="I43" s="806"/>
      <c r="J43" s="806"/>
      <c r="K43" s="806"/>
      <c r="L43" s="806"/>
      <c r="M43" s="806"/>
      <c r="N43" s="806"/>
      <c r="O43" s="806"/>
      <c r="P43" s="806"/>
      <c r="Q43" s="806"/>
      <c r="R43" s="806"/>
      <c r="S43" s="806"/>
      <c r="T43" s="806"/>
      <c r="U43" s="807"/>
    </row>
    <row r="44" spans="2:22">
      <c r="B44" s="805"/>
      <c r="C44" s="806"/>
      <c r="D44" s="806"/>
      <c r="E44" s="806"/>
      <c r="F44" s="806"/>
      <c r="G44" s="806"/>
      <c r="H44" s="806"/>
      <c r="I44" s="806"/>
      <c r="J44" s="806"/>
      <c r="K44" s="806"/>
      <c r="L44" s="806"/>
      <c r="M44" s="806"/>
      <c r="N44" s="806"/>
      <c r="O44" s="806"/>
      <c r="P44" s="806"/>
      <c r="Q44" s="806"/>
      <c r="R44" s="806"/>
      <c r="S44" s="806"/>
      <c r="T44" s="806"/>
      <c r="U44" s="807"/>
    </row>
    <row r="45" spans="2:22">
      <c r="B45" s="805"/>
      <c r="C45" s="806"/>
      <c r="D45" s="806"/>
      <c r="E45" s="806"/>
      <c r="F45" s="806"/>
      <c r="G45" s="806"/>
      <c r="H45" s="806"/>
      <c r="I45" s="806"/>
      <c r="J45" s="806"/>
      <c r="K45" s="806"/>
      <c r="L45" s="806"/>
      <c r="M45" s="806"/>
      <c r="N45" s="806"/>
      <c r="O45" s="806"/>
      <c r="P45" s="806"/>
      <c r="Q45" s="806"/>
      <c r="R45" s="806"/>
      <c r="S45" s="806"/>
      <c r="T45" s="806"/>
      <c r="U45" s="807"/>
    </row>
    <row r="46" spans="2:22">
      <c r="B46" s="805"/>
      <c r="C46" s="806"/>
      <c r="D46" s="806"/>
      <c r="E46" s="806"/>
      <c r="F46" s="806"/>
      <c r="G46" s="806"/>
      <c r="H46" s="806"/>
      <c r="I46" s="806"/>
      <c r="J46" s="806"/>
      <c r="K46" s="806"/>
      <c r="L46" s="806"/>
      <c r="M46" s="806"/>
      <c r="N46" s="806"/>
      <c r="O46" s="806"/>
      <c r="P46" s="806"/>
      <c r="Q46" s="806"/>
      <c r="R46" s="806"/>
      <c r="S46" s="806"/>
      <c r="T46" s="806"/>
      <c r="U46" s="807"/>
    </row>
    <row r="47" spans="2:22">
      <c r="B47" s="805"/>
      <c r="C47" s="806"/>
      <c r="D47" s="806"/>
      <c r="E47" s="806"/>
      <c r="F47" s="806"/>
      <c r="G47" s="806"/>
      <c r="H47" s="806"/>
      <c r="I47" s="806"/>
      <c r="J47" s="806"/>
      <c r="K47" s="806"/>
      <c r="L47" s="806"/>
      <c r="M47" s="806"/>
      <c r="N47" s="806"/>
      <c r="O47" s="806"/>
      <c r="P47" s="806"/>
      <c r="Q47" s="806"/>
      <c r="R47" s="806"/>
      <c r="S47" s="806"/>
      <c r="T47" s="806"/>
      <c r="U47" s="807"/>
    </row>
    <row r="48" spans="2:22">
      <c r="B48" s="805"/>
      <c r="C48" s="806"/>
      <c r="D48" s="806"/>
      <c r="E48" s="806"/>
      <c r="F48" s="806"/>
      <c r="G48" s="806"/>
      <c r="H48" s="806"/>
      <c r="I48" s="806"/>
      <c r="J48" s="806"/>
      <c r="K48" s="806"/>
      <c r="L48" s="806"/>
      <c r="M48" s="806"/>
      <c r="N48" s="806"/>
      <c r="O48" s="806"/>
      <c r="P48" s="806"/>
      <c r="Q48" s="806"/>
      <c r="R48" s="806"/>
      <c r="S48" s="806"/>
      <c r="T48" s="806"/>
      <c r="U48" s="807"/>
    </row>
    <row r="49" spans="2:22">
      <c r="B49" s="805"/>
      <c r="C49" s="806"/>
      <c r="D49" s="806"/>
      <c r="E49" s="806"/>
      <c r="F49" s="806"/>
      <c r="G49" s="806"/>
      <c r="H49" s="806"/>
      <c r="I49" s="806"/>
      <c r="J49" s="806"/>
      <c r="K49" s="806"/>
      <c r="L49" s="806"/>
      <c r="M49" s="806"/>
      <c r="N49" s="806"/>
      <c r="O49" s="806"/>
      <c r="P49" s="806"/>
      <c r="Q49" s="806"/>
      <c r="R49" s="806"/>
      <c r="S49" s="806"/>
      <c r="T49" s="806"/>
      <c r="U49" s="807"/>
    </row>
    <row r="50" spans="2:22">
      <c r="B50" s="805"/>
      <c r="C50" s="806"/>
      <c r="D50" s="806"/>
      <c r="E50" s="806"/>
      <c r="F50" s="806"/>
      <c r="G50" s="806"/>
      <c r="H50" s="806"/>
      <c r="I50" s="806"/>
      <c r="J50" s="806"/>
      <c r="K50" s="806"/>
      <c r="L50" s="806"/>
      <c r="M50" s="806"/>
      <c r="N50" s="806"/>
      <c r="O50" s="806"/>
      <c r="P50" s="806"/>
      <c r="Q50" s="806"/>
      <c r="R50" s="806"/>
      <c r="S50" s="806"/>
      <c r="T50" s="806"/>
      <c r="U50" s="807"/>
    </row>
    <row r="51" spans="2:22">
      <c r="B51" s="805"/>
      <c r="C51" s="806"/>
      <c r="D51" s="806"/>
      <c r="E51" s="806"/>
      <c r="F51" s="806"/>
      <c r="G51" s="806"/>
      <c r="H51" s="806"/>
      <c r="I51" s="806"/>
      <c r="J51" s="806"/>
      <c r="K51" s="806"/>
      <c r="L51" s="806"/>
      <c r="M51" s="806"/>
      <c r="N51" s="806"/>
      <c r="O51" s="806"/>
      <c r="P51" s="806"/>
      <c r="Q51" s="806"/>
      <c r="R51" s="806"/>
      <c r="S51" s="806"/>
      <c r="T51" s="806"/>
      <c r="U51" s="807"/>
    </row>
    <row r="52" spans="2:22">
      <c r="B52" s="805"/>
      <c r="C52" s="806"/>
      <c r="D52" s="806"/>
      <c r="E52" s="806"/>
      <c r="F52" s="806"/>
      <c r="G52" s="806"/>
      <c r="H52" s="806"/>
      <c r="I52" s="806"/>
      <c r="J52" s="806"/>
      <c r="K52" s="806"/>
      <c r="L52" s="806"/>
      <c r="M52" s="806"/>
      <c r="N52" s="806"/>
      <c r="O52" s="806"/>
      <c r="P52" s="806"/>
      <c r="Q52" s="806"/>
      <c r="R52" s="806"/>
      <c r="S52" s="806"/>
      <c r="T52" s="806"/>
      <c r="U52" s="807"/>
    </row>
    <row r="53" spans="2:22">
      <c r="B53" s="805"/>
      <c r="C53" s="806"/>
      <c r="D53" s="806"/>
      <c r="E53" s="806"/>
      <c r="F53" s="806"/>
      <c r="G53" s="806"/>
      <c r="H53" s="806"/>
      <c r="I53" s="806"/>
      <c r="J53" s="806"/>
      <c r="K53" s="806"/>
      <c r="L53" s="806"/>
      <c r="M53" s="806"/>
      <c r="N53" s="806"/>
      <c r="O53" s="806"/>
      <c r="P53" s="806"/>
      <c r="Q53" s="806"/>
      <c r="R53" s="806"/>
      <c r="S53" s="806"/>
      <c r="T53" s="806"/>
      <c r="U53" s="807"/>
    </row>
    <row r="54" spans="2:22">
      <c r="B54" s="808"/>
      <c r="C54" s="809"/>
      <c r="D54" s="809"/>
      <c r="E54" s="809"/>
      <c r="F54" s="809"/>
      <c r="G54" s="809"/>
      <c r="H54" s="809"/>
      <c r="I54" s="809"/>
      <c r="J54" s="809"/>
      <c r="K54" s="809"/>
      <c r="L54" s="809"/>
      <c r="M54" s="809"/>
      <c r="N54" s="809"/>
      <c r="O54" s="809"/>
      <c r="P54" s="809"/>
      <c r="Q54" s="809"/>
      <c r="R54" s="809"/>
      <c r="S54" s="809"/>
      <c r="T54" s="809"/>
      <c r="U54" s="810"/>
    </row>
    <row r="56" spans="2:22" s="243" customFormat="1" ht="20">
      <c r="B56" s="241" t="s">
        <v>567</v>
      </c>
      <c r="C56" s="241"/>
      <c r="D56" s="241"/>
      <c r="E56" s="241"/>
      <c r="F56" s="241"/>
      <c r="G56" s="241"/>
      <c r="H56" s="241"/>
      <c r="I56" s="241"/>
      <c r="J56" s="241"/>
      <c r="K56" s="241"/>
      <c r="L56" s="241"/>
      <c r="M56" s="241"/>
      <c r="N56" s="241"/>
      <c r="O56" s="241"/>
      <c r="P56" s="241"/>
      <c r="Q56" s="241"/>
      <c r="R56" s="241"/>
      <c r="S56" s="241"/>
      <c r="T56" s="241"/>
      <c r="U56" s="241"/>
      <c r="V56" s="242"/>
    </row>
    <row r="57" spans="2:22">
      <c r="B57" s="787" t="s">
        <v>570</v>
      </c>
      <c r="C57" s="788"/>
      <c r="D57" s="788"/>
      <c r="E57" s="788"/>
      <c r="F57" s="788"/>
      <c r="G57" s="788"/>
      <c r="H57" s="788"/>
      <c r="I57" s="788"/>
      <c r="J57" s="788"/>
      <c r="K57" s="788"/>
      <c r="L57" s="788"/>
      <c r="M57" s="788"/>
      <c r="N57" s="788"/>
      <c r="O57" s="788"/>
      <c r="P57" s="788"/>
      <c r="Q57" s="788"/>
      <c r="R57" s="788"/>
      <c r="S57" s="788"/>
      <c r="T57" s="788"/>
      <c r="U57" s="789"/>
    </row>
    <row r="58" spans="2:22">
      <c r="B58" s="790"/>
      <c r="C58" s="791"/>
      <c r="D58" s="791"/>
      <c r="E58" s="791"/>
      <c r="F58" s="791"/>
      <c r="G58" s="791"/>
      <c r="H58" s="791"/>
      <c r="I58" s="791"/>
      <c r="J58" s="791"/>
      <c r="K58" s="791"/>
      <c r="L58" s="791"/>
      <c r="M58" s="791"/>
      <c r="N58" s="791"/>
      <c r="O58" s="791"/>
      <c r="P58" s="791"/>
      <c r="Q58" s="791"/>
      <c r="R58" s="791"/>
      <c r="S58" s="791"/>
      <c r="T58" s="791"/>
      <c r="U58" s="792"/>
    </row>
    <row r="59" spans="2:22">
      <c r="B59" s="793"/>
      <c r="C59" s="794"/>
      <c r="D59" s="794"/>
      <c r="E59" s="794"/>
      <c r="F59" s="794"/>
      <c r="G59" s="794"/>
      <c r="H59" s="794"/>
      <c r="I59" s="794"/>
      <c r="J59" s="794"/>
      <c r="K59" s="794"/>
      <c r="L59" s="794"/>
      <c r="M59" s="794"/>
      <c r="N59" s="794"/>
      <c r="O59" s="794"/>
      <c r="P59" s="794"/>
      <c r="Q59" s="794"/>
      <c r="R59" s="794"/>
      <c r="S59" s="794"/>
      <c r="T59" s="794"/>
      <c r="U59" s="795"/>
    </row>
    <row r="60" spans="2:22">
      <c r="B60" s="796"/>
      <c r="C60" s="797"/>
      <c r="D60" s="797"/>
      <c r="E60" s="797"/>
      <c r="F60" s="797"/>
      <c r="G60" s="797"/>
      <c r="H60" s="797"/>
      <c r="I60" s="797"/>
      <c r="J60" s="797"/>
      <c r="K60" s="797"/>
      <c r="L60" s="797"/>
      <c r="M60" s="797"/>
      <c r="N60" s="797"/>
      <c r="O60" s="797"/>
      <c r="P60" s="797"/>
      <c r="Q60" s="797"/>
      <c r="R60" s="797"/>
      <c r="S60" s="797"/>
      <c r="T60" s="797"/>
      <c r="U60" s="798"/>
    </row>
    <row r="61" spans="2:22">
      <c r="B61" s="796"/>
      <c r="C61" s="797"/>
      <c r="D61" s="797"/>
      <c r="E61" s="797"/>
      <c r="F61" s="797"/>
      <c r="G61" s="797"/>
      <c r="H61" s="797"/>
      <c r="I61" s="797"/>
      <c r="J61" s="797"/>
      <c r="K61" s="797"/>
      <c r="L61" s="797"/>
      <c r="M61" s="797"/>
      <c r="N61" s="797"/>
      <c r="O61" s="797"/>
      <c r="P61" s="797"/>
      <c r="Q61" s="797"/>
      <c r="R61" s="797"/>
      <c r="S61" s="797"/>
      <c r="T61" s="797"/>
      <c r="U61" s="798"/>
    </row>
    <row r="62" spans="2:22">
      <c r="B62" s="796"/>
      <c r="C62" s="797"/>
      <c r="D62" s="797"/>
      <c r="E62" s="797"/>
      <c r="F62" s="797"/>
      <c r="G62" s="797"/>
      <c r="H62" s="797"/>
      <c r="I62" s="797"/>
      <c r="J62" s="797"/>
      <c r="K62" s="797"/>
      <c r="L62" s="797"/>
      <c r="M62" s="797"/>
      <c r="N62" s="797"/>
      <c r="O62" s="797"/>
      <c r="P62" s="797"/>
      <c r="Q62" s="797"/>
      <c r="R62" s="797"/>
      <c r="S62" s="797"/>
      <c r="T62" s="797"/>
      <c r="U62" s="798"/>
    </row>
    <row r="63" spans="2:22">
      <c r="B63" s="799"/>
      <c r="C63" s="800"/>
      <c r="D63" s="800"/>
      <c r="E63" s="800"/>
      <c r="F63" s="800"/>
      <c r="G63" s="800"/>
      <c r="H63" s="800"/>
      <c r="I63" s="800"/>
      <c r="J63" s="800"/>
      <c r="K63" s="800"/>
      <c r="L63" s="800"/>
      <c r="M63" s="800"/>
      <c r="N63" s="800"/>
      <c r="O63" s="800"/>
      <c r="P63" s="800"/>
      <c r="Q63" s="800"/>
      <c r="R63" s="800"/>
      <c r="S63" s="800"/>
      <c r="T63" s="800"/>
      <c r="U63" s="801"/>
    </row>
    <row r="64" spans="2:22">
      <c r="B64" s="787" t="s">
        <v>571</v>
      </c>
      <c r="C64" s="788"/>
      <c r="D64" s="788"/>
      <c r="E64" s="788"/>
      <c r="F64" s="788"/>
      <c r="G64" s="788"/>
      <c r="H64" s="788"/>
      <c r="I64" s="788"/>
      <c r="J64" s="788"/>
      <c r="K64" s="788"/>
      <c r="L64" s="788"/>
      <c r="M64" s="788"/>
      <c r="N64" s="788"/>
      <c r="O64" s="788"/>
      <c r="P64" s="788"/>
      <c r="Q64" s="788"/>
      <c r="R64" s="788"/>
      <c r="S64" s="788"/>
      <c r="T64" s="788"/>
      <c r="U64" s="789"/>
    </row>
    <row r="65" spans="2:21">
      <c r="B65" s="790"/>
      <c r="C65" s="791"/>
      <c r="D65" s="791"/>
      <c r="E65" s="791"/>
      <c r="F65" s="791"/>
      <c r="G65" s="791"/>
      <c r="H65" s="791"/>
      <c r="I65" s="791"/>
      <c r="J65" s="791"/>
      <c r="K65" s="791"/>
      <c r="L65" s="791"/>
      <c r="M65" s="791"/>
      <c r="N65" s="791"/>
      <c r="O65" s="791"/>
      <c r="P65" s="791"/>
      <c r="Q65" s="791"/>
      <c r="R65" s="791"/>
      <c r="S65" s="791"/>
      <c r="T65" s="791"/>
      <c r="U65" s="792"/>
    </row>
    <row r="66" spans="2:21">
      <c r="B66" s="793"/>
      <c r="C66" s="794"/>
      <c r="D66" s="794"/>
      <c r="E66" s="794"/>
      <c r="F66" s="794"/>
      <c r="G66" s="794"/>
      <c r="H66" s="794"/>
      <c r="I66" s="794"/>
      <c r="J66" s="794"/>
      <c r="K66" s="794"/>
      <c r="L66" s="794"/>
      <c r="M66" s="794"/>
      <c r="N66" s="794"/>
      <c r="O66" s="794"/>
      <c r="P66" s="794"/>
      <c r="Q66" s="794"/>
      <c r="R66" s="794"/>
      <c r="S66" s="794"/>
      <c r="T66" s="794"/>
      <c r="U66" s="795"/>
    </row>
    <row r="67" spans="2:21">
      <c r="B67" s="796"/>
      <c r="C67" s="797"/>
      <c r="D67" s="797"/>
      <c r="E67" s="797"/>
      <c r="F67" s="797"/>
      <c r="G67" s="797"/>
      <c r="H67" s="797"/>
      <c r="I67" s="797"/>
      <c r="J67" s="797"/>
      <c r="K67" s="797"/>
      <c r="L67" s="797"/>
      <c r="M67" s="797"/>
      <c r="N67" s="797"/>
      <c r="O67" s="797"/>
      <c r="P67" s="797"/>
      <c r="Q67" s="797"/>
      <c r="R67" s="797"/>
      <c r="S67" s="797"/>
      <c r="T67" s="797"/>
      <c r="U67" s="798"/>
    </row>
    <row r="68" spans="2:21">
      <c r="B68" s="796"/>
      <c r="C68" s="797"/>
      <c r="D68" s="797"/>
      <c r="E68" s="797"/>
      <c r="F68" s="797"/>
      <c r="G68" s="797"/>
      <c r="H68" s="797"/>
      <c r="I68" s="797"/>
      <c r="J68" s="797"/>
      <c r="K68" s="797"/>
      <c r="L68" s="797"/>
      <c r="M68" s="797"/>
      <c r="N68" s="797"/>
      <c r="O68" s="797"/>
      <c r="P68" s="797"/>
      <c r="Q68" s="797"/>
      <c r="R68" s="797"/>
      <c r="S68" s="797"/>
      <c r="T68" s="797"/>
      <c r="U68" s="798"/>
    </row>
    <row r="69" spans="2:21">
      <c r="B69" s="796"/>
      <c r="C69" s="797"/>
      <c r="D69" s="797"/>
      <c r="E69" s="797"/>
      <c r="F69" s="797"/>
      <c r="G69" s="797"/>
      <c r="H69" s="797"/>
      <c r="I69" s="797"/>
      <c r="J69" s="797"/>
      <c r="K69" s="797"/>
      <c r="L69" s="797"/>
      <c r="M69" s="797"/>
      <c r="N69" s="797"/>
      <c r="O69" s="797"/>
      <c r="P69" s="797"/>
      <c r="Q69" s="797"/>
      <c r="R69" s="797"/>
      <c r="S69" s="797"/>
      <c r="T69" s="797"/>
      <c r="U69" s="798"/>
    </row>
    <row r="70" spans="2:21">
      <c r="B70" s="799"/>
      <c r="C70" s="800"/>
      <c r="D70" s="800"/>
      <c r="E70" s="800"/>
      <c r="F70" s="800"/>
      <c r="G70" s="800"/>
      <c r="H70" s="800"/>
      <c r="I70" s="800"/>
      <c r="J70" s="800"/>
      <c r="K70" s="800"/>
      <c r="L70" s="800"/>
      <c r="M70" s="800"/>
      <c r="N70" s="800"/>
      <c r="O70" s="800"/>
      <c r="P70" s="800"/>
      <c r="Q70" s="800"/>
      <c r="R70" s="800"/>
      <c r="S70" s="800"/>
      <c r="T70" s="800"/>
      <c r="U70" s="801"/>
    </row>
  </sheetData>
  <sheetProtection algorithmName="SHA-512" hashValue="i2WCfFKDH5n40X3O9k1nsJd5ul7Xy1DuGnnzgkOsZGKR6cxPD88bG1Wc3ckoYYMXuXSrlzSaSzqaRhUya+fZJw==" saltValue="Drr7LRXb2kGxVqBuZGR5gg==" spinCount="100000" sheet="1" formatCells="0" insertRows="0"/>
  <mergeCells count="10">
    <mergeCell ref="B64:U65"/>
    <mergeCell ref="B66:U70"/>
    <mergeCell ref="B57:U58"/>
    <mergeCell ref="B59:U63"/>
    <mergeCell ref="B41:U54"/>
    <mergeCell ref="B3:U4"/>
    <mergeCell ref="B5:U18"/>
    <mergeCell ref="B20:U21"/>
    <mergeCell ref="B22:U35"/>
    <mergeCell ref="B39:U40"/>
  </mergeCells>
  <phoneticPr fontId="41"/>
  <printOptions horizontalCentered="1"/>
  <pageMargins left="0.70866141732283472" right="0.70866141732283472" top="0.74803149606299213" bottom="0.74803149606299213" header="0.31496062992125984" footer="0.31496062992125984"/>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D4B5EC8C-1BE5-46E5-8BD4-D8F6B4EE770E}">
            <xm:f>申請者3!$C$28&lt;&gt;"ｃ"</xm:f>
            <x14:dxf>
              <fill>
                <patternFill>
                  <bgColor theme="1" tint="0.34998626667073579"/>
                </patternFill>
              </fill>
            </x14:dxf>
          </x14:cfRule>
          <xm:sqref>B57:U70</xm:sqref>
        </x14:conditionalFormatting>
      </x14:conditionalFormattings>
    </ext>
    <ext xmlns:x14="http://schemas.microsoft.com/office/spreadsheetml/2009/9/main" uri="{CCE6A557-97BC-4b89-ADB6-D9C93CAAB3DF}">
      <x14:dataValidations xmlns:xm="http://schemas.microsoft.com/office/excel/2006/main" count="2">
        <x14:dataValidation type="custom" allowBlank="1" showInputMessage="1" showErrorMessage="1" error="申請者３シートの５.決算状況(1)要件確認のうち、申請要件でcを選択した方のみご記入ください。" xr:uid="{00000000-0002-0000-0700-000000000000}">
          <x14:formula1>
            <xm:f>申請者3!C28="ｃ"</xm:f>
          </x14:formula1>
          <xm:sqref>B59:U63</xm:sqref>
        </x14:dataValidation>
        <x14:dataValidation type="custom" allowBlank="1" showInputMessage="1" showErrorMessage="1" error="申請者３シートの５.決算状況(1)要件確認のうち、申請要件でcを選択した方のみご記入ください。" xr:uid="{00000000-0002-0000-0700-000001000000}">
          <x14:formula1>
            <xm:f>申請者3!C28="ｃ"</xm:f>
          </x14:formula1>
          <xm:sqref>B66:U70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79998168889431442"/>
  </sheetPr>
  <dimension ref="A1:X34"/>
  <sheetViews>
    <sheetView view="pageBreakPreview" topLeftCell="A3" zoomScale="214" zoomScaleNormal="100" zoomScaleSheetLayoutView="214" workbookViewId="0"/>
  </sheetViews>
  <sheetFormatPr baseColWidth="10" defaultColWidth="8.5" defaultRowHeight="18"/>
  <cols>
    <col min="1" max="1" width="5.33203125" style="91" customWidth="1"/>
    <col min="2" max="2" width="27.5" style="91" customWidth="1"/>
    <col min="3" max="3" width="7.5" style="91" customWidth="1"/>
    <col min="4" max="24" width="4" style="91" customWidth="1"/>
    <col min="25" max="16384" width="8.5" style="91"/>
  </cols>
  <sheetData>
    <row r="1" spans="1:24" ht="18" customHeight="1"/>
    <row r="2" spans="1:24" ht="29" customHeight="1">
      <c r="A2" s="844" t="s">
        <v>522</v>
      </c>
      <c r="B2" s="844"/>
      <c r="C2" s="844"/>
      <c r="D2" s="844"/>
      <c r="E2" s="844"/>
      <c r="F2" s="844"/>
      <c r="G2" s="844"/>
      <c r="H2" s="844"/>
      <c r="I2" s="844"/>
      <c r="J2" s="844"/>
      <c r="K2" s="844"/>
      <c r="L2" s="844"/>
      <c r="M2" s="844"/>
      <c r="N2" s="844"/>
      <c r="O2" s="844"/>
      <c r="P2" s="844"/>
      <c r="Q2" s="844"/>
      <c r="R2" s="844"/>
      <c r="S2" s="844"/>
      <c r="T2" s="844"/>
      <c r="U2" s="844"/>
      <c r="V2" s="844"/>
      <c r="W2" s="844"/>
      <c r="X2" s="844"/>
    </row>
    <row r="3" spans="1:24" s="226" customFormat="1" ht="32.25" customHeight="1">
      <c r="A3" s="225" t="s">
        <v>523</v>
      </c>
    </row>
    <row r="4" spans="1:24" ht="21" customHeight="1">
      <c r="A4" s="823" t="s">
        <v>158</v>
      </c>
      <c r="B4" s="824"/>
      <c r="C4" s="825"/>
      <c r="D4" s="835" t="s">
        <v>163</v>
      </c>
      <c r="E4" s="836"/>
      <c r="F4" s="836"/>
      <c r="G4" s="836"/>
      <c r="H4" s="836"/>
      <c r="I4" s="836"/>
      <c r="J4" s="836"/>
      <c r="K4" s="836"/>
      <c r="L4" s="836"/>
      <c r="M4" s="836"/>
      <c r="N4" s="836"/>
      <c r="O4" s="836"/>
      <c r="P4" s="836"/>
      <c r="Q4" s="836"/>
      <c r="R4" s="836"/>
      <c r="S4" s="836"/>
      <c r="T4" s="836"/>
      <c r="U4" s="836"/>
      <c r="V4" s="836"/>
      <c r="W4" s="836"/>
      <c r="X4" s="836"/>
    </row>
    <row r="5" spans="1:24">
      <c r="A5" s="826"/>
      <c r="B5" s="827"/>
      <c r="C5" s="828"/>
      <c r="D5" s="837"/>
      <c r="E5" s="838"/>
      <c r="F5" s="838"/>
      <c r="G5" s="838"/>
      <c r="H5" s="838"/>
      <c r="I5" s="838"/>
      <c r="J5" s="838"/>
      <c r="K5" s="838"/>
      <c r="L5" s="838"/>
      <c r="M5" s="838"/>
      <c r="N5" s="838"/>
      <c r="O5" s="838"/>
      <c r="P5" s="838"/>
      <c r="Q5" s="838"/>
      <c r="R5" s="838"/>
      <c r="S5" s="838"/>
      <c r="T5" s="838"/>
      <c r="U5" s="838"/>
      <c r="V5" s="838"/>
      <c r="W5" s="838"/>
      <c r="X5" s="838"/>
    </row>
    <row r="6" spans="1:24">
      <c r="A6" s="829"/>
      <c r="B6" s="830"/>
      <c r="C6" s="831"/>
      <c r="D6" s="839"/>
      <c r="E6" s="840"/>
      <c r="F6" s="840"/>
      <c r="G6" s="840"/>
      <c r="H6" s="840"/>
      <c r="I6" s="840"/>
      <c r="J6" s="840"/>
      <c r="K6" s="840"/>
      <c r="L6" s="840"/>
      <c r="M6" s="840"/>
      <c r="N6" s="840"/>
      <c r="O6" s="840"/>
      <c r="P6" s="840"/>
      <c r="Q6" s="840"/>
      <c r="R6" s="840"/>
      <c r="S6" s="840"/>
      <c r="T6" s="840"/>
      <c r="U6" s="840"/>
      <c r="V6" s="840"/>
      <c r="W6" s="840"/>
      <c r="X6" s="840"/>
    </row>
    <row r="7" spans="1:24" ht="35.25" customHeight="1">
      <c r="A7" s="832" t="s">
        <v>159</v>
      </c>
      <c r="B7" s="833"/>
      <c r="C7" s="834"/>
      <c r="D7" s="841" t="str">
        <f>IF(表紙!C40="","",表紙!C40)</f>
        <v/>
      </c>
      <c r="E7" s="842"/>
      <c r="F7" s="842"/>
      <c r="G7" s="842"/>
      <c r="H7" s="842"/>
      <c r="I7" s="842"/>
      <c r="J7" s="842"/>
      <c r="K7" s="842"/>
      <c r="L7" s="842"/>
      <c r="M7" s="842"/>
      <c r="N7" s="842"/>
      <c r="O7" s="842"/>
      <c r="P7" s="842"/>
      <c r="Q7" s="842"/>
      <c r="R7" s="842"/>
      <c r="S7" s="842"/>
      <c r="T7" s="842"/>
      <c r="U7" s="842"/>
      <c r="V7" s="842"/>
      <c r="W7" s="842"/>
      <c r="X7" s="843"/>
    </row>
    <row r="8" spans="1:24" ht="19.5" customHeight="1">
      <c r="B8" s="180"/>
      <c r="L8" s="204"/>
    </row>
    <row r="9" spans="1:24" ht="27" customHeight="1">
      <c r="A9" s="845" t="s">
        <v>475</v>
      </c>
      <c r="B9" s="846"/>
      <c r="C9" s="846"/>
      <c r="D9" s="846"/>
      <c r="E9" s="846"/>
      <c r="F9" s="846"/>
      <c r="G9" s="846"/>
      <c r="H9" s="846"/>
      <c r="I9" s="846"/>
      <c r="J9" s="846"/>
      <c r="K9" s="846"/>
      <c r="L9" s="846"/>
      <c r="M9" s="846"/>
      <c r="N9" s="846"/>
      <c r="O9" s="846"/>
      <c r="P9" s="846"/>
      <c r="Q9" s="846"/>
      <c r="R9" s="846"/>
      <c r="S9" s="846"/>
      <c r="T9" s="846"/>
      <c r="U9" s="846"/>
      <c r="V9" s="846"/>
      <c r="W9" s="846"/>
      <c r="X9" s="846"/>
    </row>
    <row r="10" spans="1:24">
      <c r="A10" s="847"/>
      <c r="B10" s="848"/>
      <c r="C10" s="848"/>
      <c r="D10" s="848"/>
      <c r="E10" s="848"/>
      <c r="F10" s="848"/>
      <c r="G10" s="848"/>
      <c r="H10" s="848"/>
      <c r="I10" s="848"/>
      <c r="J10" s="848"/>
      <c r="K10" s="848"/>
      <c r="L10" s="848"/>
      <c r="M10" s="848"/>
      <c r="N10" s="848"/>
      <c r="O10" s="848"/>
      <c r="P10" s="848"/>
      <c r="Q10" s="848"/>
      <c r="R10" s="848"/>
      <c r="S10" s="848"/>
      <c r="T10" s="848"/>
      <c r="U10" s="848"/>
      <c r="V10" s="848"/>
      <c r="W10" s="848"/>
      <c r="X10" s="848"/>
    </row>
    <row r="11" spans="1:24">
      <c r="A11" s="849"/>
      <c r="B11" s="850"/>
      <c r="C11" s="850"/>
      <c r="D11" s="850"/>
      <c r="E11" s="850"/>
      <c r="F11" s="850"/>
      <c r="G11" s="850"/>
      <c r="H11" s="850"/>
      <c r="I11" s="850"/>
      <c r="J11" s="850"/>
      <c r="K11" s="850"/>
      <c r="L11" s="850"/>
      <c r="M11" s="850"/>
      <c r="N11" s="850"/>
      <c r="O11" s="850"/>
      <c r="P11" s="850"/>
      <c r="Q11" s="850"/>
      <c r="R11" s="850"/>
      <c r="S11" s="850"/>
      <c r="T11" s="850"/>
      <c r="U11" s="850"/>
      <c r="V11" s="850"/>
      <c r="W11" s="850"/>
      <c r="X11" s="850"/>
    </row>
    <row r="12" spans="1:24">
      <c r="A12" s="849"/>
      <c r="B12" s="850"/>
      <c r="C12" s="850"/>
      <c r="D12" s="850"/>
      <c r="E12" s="850"/>
      <c r="F12" s="850"/>
      <c r="G12" s="850"/>
      <c r="H12" s="850"/>
      <c r="I12" s="850"/>
      <c r="J12" s="850"/>
      <c r="K12" s="850"/>
      <c r="L12" s="850"/>
      <c r="M12" s="850"/>
      <c r="N12" s="850"/>
      <c r="O12" s="850"/>
      <c r="P12" s="850"/>
      <c r="Q12" s="850"/>
      <c r="R12" s="850"/>
      <c r="S12" s="850"/>
      <c r="T12" s="850"/>
      <c r="U12" s="850"/>
      <c r="V12" s="850"/>
      <c r="W12" s="850"/>
      <c r="X12" s="850"/>
    </row>
    <row r="13" spans="1:24">
      <c r="A13" s="849"/>
      <c r="B13" s="850"/>
      <c r="C13" s="850"/>
      <c r="D13" s="850"/>
      <c r="E13" s="850"/>
      <c r="F13" s="850"/>
      <c r="G13" s="850"/>
      <c r="H13" s="850"/>
      <c r="I13" s="850"/>
      <c r="J13" s="850"/>
      <c r="K13" s="850"/>
      <c r="L13" s="850"/>
      <c r="M13" s="850"/>
      <c r="N13" s="850"/>
      <c r="O13" s="850"/>
      <c r="P13" s="850"/>
      <c r="Q13" s="850"/>
      <c r="R13" s="850"/>
      <c r="S13" s="850"/>
      <c r="T13" s="850"/>
      <c r="U13" s="850"/>
      <c r="V13" s="850"/>
      <c r="W13" s="850"/>
      <c r="X13" s="850"/>
    </row>
    <row r="14" spans="1:24">
      <c r="A14" s="849"/>
      <c r="B14" s="850"/>
      <c r="C14" s="850"/>
      <c r="D14" s="850"/>
      <c r="E14" s="850"/>
      <c r="F14" s="850"/>
      <c r="G14" s="850"/>
      <c r="H14" s="850"/>
      <c r="I14" s="850"/>
      <c r="J14" s="850"/>
      <c r="K14" s="850"/>
      <c r="L14" s="850"/>
      <c r="M14" s="850"/>
      <c r="N14" s="850"/>
      <c r="O14" s="850"/>
      <c r="P14" s="850"/>
      <c r="Q14" s="850"/>
      <c r="R14" s="850"/>
      <c r="S14" s="850"/>
      <c r="T14" s="850"/>
      <c r="U14" s="850"/>
      <c r="V14" s="850"/>
      <c r="W14" s="850"/>
      <c r="X14" s="850"/>
    </row>
    <row r="15" spans="1:24">
      <c r="A15" s="849"/>
      <c r="B15" s="850"/>
      <c r="C15" s="850"/>
      <c r="D15" s="850"/>
      <c r="E15" s="850"/>
      <c r="F15" s="850"/>
      <c r="G15" s="850"/>
      <c r="H15" s="850"/>
      <c r="I15" s="850"/>
      <c r="J15" s="850"/>
      <c r="K15" s="850"/>
      <c r="L15" s="850"/>
      <c r="M15" s="850"/>
      <c r="N15" s="850"/>
      <c r="O15" s="850"/>
      <c r="P15" s="850"/>
      <c r="Q15" s="850"/>
      <c r="R15" s="850"/>
      <c r="S15" s="850"/>
      <c r="T15" s="850"/>
      <c r="U15" s="850"/>
      <c r="V15" s="850"/>
      <c r="W15" s="850"/>
      <c r="X15" s="850"/>
    </row>
    <row r="16" spans="1:24">
      <c r="A16" s="849"/>
      <c r="B16" s="850"/>
      <c r="C16" s="850"/>
      <c r="D16" s="850"/>
      <c r="E16" s="850"/>
      <c r="F16" s="850"/>
      <c r="G16" s="850"/>
      <c r="H16" s="850"/>
      <c r="I16" s="850"/>
      <c r="J16" s="850"/>
      <c r="K16" s="850"/>
      <c r="L16" s="850"/>
      <c r="M16" s="850"/>
      <c r="N16" s="850"/>
      <c r="O16" s="850"/>
      <c r="P16" s="850"/>
      <c r="Q16" s="850"/>
      <c r="R16" s="850"/>
      <c r="S16" s="850"/>
      <c r="T16" s="850"/>
      <c r="U16" s="850"/>
      <c r="V16" s="850"/>
      <c r="W16" s="850"/>
      <c r="X16" s="850"/>
    </row>
    <row r="17" spans="1:24">
      <c r="A17" s="849"/>
      <c r="B17" s="850"/>
      <c r="C17" s="850"/>
      <c r="D17" s="850"/>
      <c r="E17" s="850"/>
      <c r="F17" s="850"/>
      <c r="G17" s="850"/>
      <c r="H17" s="850"/>
      <c r="I17" s="850"/>
      <c r="J17" s="850"/>
      <c r="K17" s="850"/>
      <c r="L17" s="850"/>
      <c r="M17" s="850"/>
      <c r="N17" s="850"/>
      <c r="O17" s="850"/>
      <c r="P17" s="850"/>
      <c r="Q17" s="850"/>
      <c r="R17" s="850"/>
      <c r="S17" s="850"/>
      <c r="T17" s="850"/>
      <c r="U17" s="850"/>
      <c r="V17" s="850"/>
      <c r="W17" s="850"/>
      <c r="X17" s="850"/>
    </row>
    <row r="18" spans="1:24">
      <c r="A18" s="851"/>
      <c r="B18" s="852"/>
      <c r="C18" s="852"/>
      <c r="D18" s="852"/>
      <c r="E18" s="852"/>
      <c r="F18" s="852"/>
      <c r="G18" s="852"/>
      <c r="H18" s="852"/>
      <c r="I18" s="852"/>
      <c r="J18" s="852"/>
      <c r="K18" s="852"/>
      <c r="L18" s="852"/>
      <c r="M18" s="852"/>
      <c r="N18" s="852"/>
      <c r="O18" s="852"/>
      <c r="P18" s="852"/>
      <c r="Q18" s="852"/>
      <c r="R18" s="852"/>
      <c r="S18" s="852"/>
      <c r="T18" s="852"/>
      <c r="U18" s="852"/>
      <c r="V18" s="852"/>
      <c r="W18" s="852"/>
      <c r="X18" s="852"/>
    </row>
    <row r="19" spans="1:24" ht="19.5" customHeight="1">
      <c r="B19" s="180"/>
      <c r="L19" s="204"/>
    </row>
    <row r="20" spans="1:24" ht="27" customHeight="1">
      <c r="A20" s="845" t="s">
        <v>476</v>
      </c>
      <c r="B20" s="846"/>
      <c r="C20" s="846"/>
      <c r="D20" s="846"/>
      <c r="E20" s="846"/>
      <c r="F20" s="846"/>
      <c r="G20" s="846"/>
      <c r="H20" s="846"/>
      <c r="I20" s="846"/>
      <c r="J20" s="846"/>
      <c r="K20" s="846"/>
      <c r="L20" s="846"/>
      <c r="M20" s="846"/>
      <c r="N20" s="846"/>
      <c r="O20" s="846"/>
      <c r="P20" s="846"/>
      <c r="Q20" s="846"/>
      <c r="R20" s="846"/>
      <c r="S20" s="846"/>
      <c r="T20" s="846"/>
      <c r="U20" s="846"/>
      <c r="V20" s="846"/>
      <c r="W20" s="846"/>
      <c r="X20" s="846"/>
    </row>
    <row r="21" spans="1:24">
      <c r="A21" s="853" t="s">
        <v>160</v>
      </c>
      <c r="B21" s="823" t="s">
        <v>161</v>
      </c>
      <c r="C21" s="824"/>
      <c r="D21" s="824"/>
      <c r="E21" s="824"/>
      <c r="F21" s="824"/>
      <c r="G21" s="824"/>
      <c r="H21" s="824"/>
      <c r="I21" s="825"/>
      <c r="J21" s="823" t="s">
        <v>162</v>
      </c>
      <c r="K21" s="825"/>
      <c r="L21" s="251"/>
      <c r="M21" s="252"/>
      <c r="N21" s="252"/>
      <c r="O21" s="252"/>
      <c r="P21" s="252"/>
      <c r="Q21" s="252"/>
      <c r="R21" s="252"/>
      <c r="S21" s="253"/>
      <c r="T21" s="253"/>
      <c r="U21" s="252"/>
      <c r="V21" s="252"/>
      <c r="W21" s="252"/>
      <c r="X21" s="254"/>
    </row>
    <row r="22" spans="1:24">
      <c r="A22" s="853"/>
      <c r="B22" s="829"/>
      <c r="C22" s="830"/>
      <c r="D22" s="830"/>
      <c r="E22" s="830"/>
      <c r="F22" s="830"/>
      <c r="G22" s="830"/>
      <c r="H22" s="830"/>
      <c r="I22" s="831"/>
      <c r="J22" s="829"/>
      <c r="K22" s="831"/>
      <c r="L22" s="255"/>
      <c r="M22" s="255"/>
      <c r="N22" s="255"/>
      <c r="O22" s="255"/>
      <c r="P22" s="255"/>
      <c r="Q22" s="255"/>
      <c r="R22" s="255"/>
      <c r="S22" s="255"/>
      <c r="T22" s="255"/>
      <c r="U22" s="255"/>
      <c r="V22" s="255"/>
      <c r="W22" s="255"/>
      <c r="X22" s="255"/>
    </row>
    <row r="23" spans="1:24" s="92" customFormat="1" ht="59.25" customHeight="1">
      <c r="A23" s="256">
        <v>1</v>
      </c>
      <c r="B23" s="813"/>
      <c r="C23" s="814"/>
      <c r="D23" s="814"/>
      <c r="E23" s="814"/>
      <c r="F23" s="814"/>
      <c r="G23" s="814"/>
      <c r="H23" s="814"/>
      <c r="I23" s="815"/>
      <c r="J23" s="817"/>
      <c r="K23" s="818"/>
      <c r="L23" s="176"/>
      <c r="M23" s="176"/>
      <c r="N23" s="176"/>
      <c r="O23" s="176"/>
      <c r="P23" s="176"/>
      <c r="Q23" s="176"/>
      <c r="R23" s="176"/>
      <c r="S23" s="176"/>
      <c r="T23" s="176"/>
      <c r="U23" s="176"/>
      <c r="V23" s="176"/>
      <c r="W23" s="176"/>
      <c r="X23" s="176"/>
    </row>
    <row r="24" spans="1:24" s="92" customFormat="1" ht="59.25" customHeight="1">
      <c r="A24" s="256">
        <v>2</v>
      </c>
      <c r="B24" s="816"/>
      <c r="C24" s="814"/>
      <c r="D24" s="814"/>
      <c r="E24" s="814"/>
      <c r="F24" s="814"/>
      <c r="G24" s="814"/>
      <c r="H24" s="814"/>
      <c r="I24" s="815"/>
      <c r="J24" s="817"/>
      <c r="K24" s="818"/>
      <c r="L24" s="176"/>
      <c r="M24" s="176"/>
      <c r="N24" s="176"/>
      <c r="O24" s="176"/>
      <c r="P24" s="176"/>
      <c r="Q24" s="176"/>
      <c r="R24" s="176"/>
      <c r="S24" s="176"/>
      <c r="T24" s="176"/>
      <c r="U24" s="176"/>
      <c r="V24" s="176"/>
      <c r="W24" s="176"/>
      <c r="X24" s="176"/>
    </row>
    <row r="25" spans="1:24" s="92" customFormat="1" ht="59.25" customHeight="1">
      <c r="A25" s="256">
        <v>3</v>
      </c>
      <c r="B25" s="816"/>
      <c r="C25" s="814"/>
      <c r="D25" s="814"/>
      <c r="E25" s="814"/>
      <c r="F25" s="814"/>
      <c r="G25" s="814"/>
      <c r="H25" s="814"/>
      <c r="I25" s="815"/>
      <c r="J25" s="817"/>
      <c r="K25" s="818"/>
      <c r="L25" s="176"/>
      <c r="M25" s="176"/>
      <c r="N25" s="176"/>
      <c r="O25" s="176"/>
      <c r="P25" s="176"/>
      <c r="Q25" s="176"/>
      <c r="R25" s="176"/>
      <c r="S25" s="176"/>
      <c r="T25" s="176"/>
      <c r="U25" s="176"/>
      <c r="V25" s="176"/>
      <c r="W25" s="176"/>
      <c r="X25" s="176"/>
    </row>
    <row r="26" spans="1:24" s="92" customFormat="1" ht="59.25" customHeight="1">
      <c r="A26" s="256">
        <v>4</v>
      </c>
      <c r="B26" s="816"/>
      <c r="C26" s="814"/>
      <c r="D26" s="814"/>
      <c r="E26" s="814"/>
      <c r="F26" s="814"/>
      <c r="G26" s="814"/>
      <c r="H26" s="814"/>
      <c r="I26" s="815"/>
      <c r="J26" s="817"/>
      <c r="K26" s="818"/>
      <c r="L26" s="176"/>
      <c r="M26" s="176"/>
      <c r="N26" s="176"/>
      <c r="O26" s="176"/>
      <c r="P26" s="176"/>
      <c r="Q26" s="176"/>
      <c r="R26" s="176"/>
      <c r="S26" s="176"/>
      <c r="T26" s="176"/>
      <c r="U26" s="176"/>
      <c r="V26" s="176"/>
      <c r="W26" s="176"/>
      <c r="X26" s="176"/>
    </row>
    <row r="27" spans="1:24" s="92" customFormat="1" ht="59.25" customHeight="1">
      <c r="A27" s="256">
        <v>5</v>
      </c>
      <c r="B27" s="822"/>
      <c r="C27" s="820"/>
      <c r="D27" s="820"/>
      <c r="E27" s="820"/>
      <c r="F27" s="820"/>
      <c r="G27" s="820"/>
      <c r="H27" s="820"/>
      <c r="I27" s="821"/>
      <c r="J27" s="811"/>
      <c r="K27" s="812"/>
      <c r="L27" s="176"/>
      <c r="M27" s="176"/>
      <c r="N27" s="176"/>
      <c r="O27" s="176"/>
      <c r="P27" s="176"/>
      <c r="Q27" s="176"/>
      <c r="R27" s="176"/>
      <c r="S27" s="176"/>
      <c r="T27" s="176"/>
      <c r="U27" s="176"/>
      <c r="V27" s="176"/>
      <c r="W27" s="176"/>
      <c r="X27" s="176"/>
    </row>
    <row r="28" spans="1:24" s="92" customFormat="1" ht="59.25" customHeight="1">
      <c r="A28" s="256">
        <v>6</v>
      </c>
      <c r="B28" s="819"/>
      <c r="C28" s="820"/>
      <c r="D28" s="820"/>
      <c r="E28" s="820"/>
      <c r="F28" s="820"/>
      <c r="G28" s="820"/>
      <c r="H28" s="820"/>
      <c r="I28" s="821"/>
      <c r="J28" s="811"/>
      <c r="K28" s="812"/>
      <c r="L28" s="176"/>
      <c r="M28" s="176"/>
      <c r="N28" s="176"/>
      <c r="O28" s="176"/>
      <c r="P28" s="176"/>
      <c r="Q28" s="176"/>
      <c r="R28" s="176"/>
      <c r="S28" s="176"/>
      <c r="T28" s="176"/>
      <c r="U28" s="176"/>
      <c r="V28" s="176"/>
      <c r="W28" s="176"/>
      <c r="X28" s="176"/>
    </row>
    <row r="29" spans="1:24" s="92" customFormat="1" ht="59.25" customHeight="1">
      <c r="A29" s="256">
        <v>7</v>
      </c>
      <c r="B29" s="819"/>
      <c r="C29" s="820"/>
      <c r="D29" s="820"/>
      <c r="E29" s="820"/>
      <c r="F29" s="820"/>
      <c r="G29" s="820"/>
      <c r="H29" s="820"/>
      <c r="I29" s="821"/>
      <c r="J29" s="811"/>
      <c r="K29" s="812"/>
      <c r="L29" s="176"/>
      <c r="M29" s="176"/>
      <c r="N29" s="176"/>
      <c r="O29" s="176"/>
      <c r="P29" s="176"/>
      <c r="Q29" s="176"/>
      <c r="R29" s="176"/>
      <c r="S29" s="176"/>
      <c r="T29" s="176"/>
      <c r="U29" s="176"/>
      <c r="V29" s="176"/>
      <c r="W29" s="176"/>
      <c r="X29" s="176"/>
    </row>
    <row r="30" spans="1:24" s="92" customFormat="1" ht="59.25" customHeight="1">
      <c r="A30" s="256">
        <v>8</v>
      </c>
      <c r="B30" s="819"/>
      <c r="C30" s="820"/>
      <c r="D30" s="820"/>
      <c r="E30" s="820"/>
      <c r="F30" s="820"/>
      <c r="G30" s="820"/>
      <c r="H30" s="820"/>
      <c r="I30" s="821"/>
      <c r="J30" s="811"/>
      <c r="K30" s="812"/>
      <c r="L30" s="176"/>
      <c r="M30" s="176"/>
      <c r="N30" s="176"/>
      <c r="O30" s="176"/>
      <c r="P30" s="176"/>
      <c r="Q30" s="176"/>
      <c r="R30" s="176"/>
      <c r="S30" s="176"/>
      <c r="T30" s="176"/>
      <c r="U30" s="176"/>
      <c r="V30" s="176"/>
      <c r="W30" s="176"/>
      <c r="X30" s="176"/>
    </row>
    <row r="31" spans="1:24" s="92" customFormat="1" ht="59.25" customHeight="1">
      <c r="A31" s="256">
        <v>9</v>
      </c>
      <c r="B31" s="819"/>
      <c r="C31" s="820"/>
      <c r="D31" s="820"/>
      <c r="E31" s="820"/>
      <c r="F31" s="820"/>
      <c r="G31" s="820"/>
      <c r="H31" s="820"/>
      <c r="I31" s="821"/>
      <c r="J31" s="811"/>
      <c r="K31" s="812"/>
      <c r="L31" s="176"/>
      <c r="M31" s="176"/>
      <c r="N31" s="176"/>
      <c r="O31" s="176"/>
      <c r="P31" s="176"/>
      <c r="Q31" s="176"/>
      <c r="R31" s="176"/>
      <c r="S31" s="176"/>
      <c r="T31" s="176"/>
      <c r="U31" s="176"/>
      <c r="V31" s="176"/>
      <c r="W31" s="176"/>
      <c r="X31" s="176"/>
    </row>
    <row r="32" spans="1:24" s="92" customFormat="1" ht="59.25" customHeight="1">
      <c r="A32" s="256">
        <v>10</v>
      </c>
      <c r="B32" s="819"/>
      <c r="C32" s="820"/>
      <c r="D32" s="820"/>
      <c r="E32" s="820"/>
      <c r="F32" s="820"/>
      <c r="G32" s="820"/>
      <c r="H32" s="820"/>
      <c r="I32" s="821"/>
      <c r="J32" s="811"/>
      <c r="K32" s="812"/>
      <c r="L32" s="176"/>
      <c r="M32" s="176"/>
      <c r="N32" s="176"/>
      <c r="O32" s="176"/>
      <c r="P32" s="176"/>
      <c r="Q32" s="176"/>
      <c r="R32" s="176"/>
      <c r="S32" s="176"/>
      <c r="T32" s="176"/>
      <c r="U32" s="176"/>
      <c r="V32" s="176"/>
      <c r="W32" s="176"/>
      <c r="X32" s="176"/>
    </row>
    <row r="33" spans="1:24" s="92" customFormat="1" ht="59.25" customHeight="1">
      <c r="A33" s="256">
        <v>11</v>
      </c>
      <c r="B33" s="819"/>
      <c r="C33" s="820"/>
      <c r="D33" s="820"/>
      <c r="E33" s="820"/>
      <c r="F33" s="820"/>
      <c r="G33" s="820"/>
      <c r="H33" s="820"/>
      <c r="I33" s="821"/>
      <c r="J33" s="811"/>
      <c r="K33" s="812"/>
      <c r="L33" s="176"/>
      <c r="M33" s="176"/>
      <c r="N33" s="176"/>
      <c r="O33" s="176"/>
      <c r="P33" s="176"/>
      <c r="Q33" s="176"/>
      <c r="R33" s="176"/>
      <c r="S33" s="176"/>
      <c r="T33" s="176"/>
      <c r="U33" s="176"/>
      <c r="V33" s="176"/>
      <c r="W33" s="176"/>
      <c r="X33" s="176"/>
    </row>
    <row r="34" spans="1:24" s="92" customFormat="1" ht="59.25" customHeight="1">
      <c r="A34" s="256">
        <v>12</v>
      </c>
      <c r="B34" s="819"/>
      <c r="C34" s="820"/>
      <c r="D34" s="820"/>
      <c r="E34" s="820"/>
      <c r="F34" s="820"/>
      <c r="G34" s="820"/>
      <c r="H34" s="820"/>
      <c r="I34" s="821"/>
      <c r="J34" s="811"/>
      <c r="K34" s="812"/>
      <c r="L34" s="176"/>
      <c r="M34" s="176"/>
      <c r="N34" s="176"/>
      <c r="O34" s="176"/>
      <c r="P34" s="176"/>
      <c r="Q34" s="176"/>
      <c r="R34" s="176"/>
      <c r="S34" s="176"/>
      <c r="T34" s="176"/>
      <c r="U34" s="176"/>
      <c r="V34" s="176"/>
      <c r="W34" s="176"/>
      <c r="X34" s="176"/>
    </row>
  </sheetData>
  <sheetProtection algorithmName="SHA-512" hashValue="QpPve2T7mNPyLWIVaYaYGbU+eJeaBP8Dry9XmTOerH8yf7jsaBZnZjQTcnuAymYfvssAzIpXXZ2MN0JzztGFjA==" saltValue="z+0sVwQUttCcPjTuscKUfA==" spinCount="100000" sheet="1" objects="1" scenarios="1" formatCells="0" insertRows="0"/>
  <mergeCells count="35">
    <mergeCell ref="B29:I29"/>
    <mergeCell ref="B30:I30"/>
    <mergeCell ref="B31:I31"/>
    <mergeCell ref="J25:K25"/>
    <mergeCell ref="J26:K26"/>
    <mergeCell ref="J27:K27"/>
    <mergeCell ref="A9:X9"/>
    <mergeCell ref="B28:I28"/>
    <mergeCell ref="A20:X20"/>
    <mergeCell ref="A10:X18"/>
    <mergeCell ref="A21:A22"/>
    <mergeCell ref="B21:I22"/>
    <mergeCell ref="J23:K23"/>
    <mergeCell ref="J21:K22"/>
    <mergeCell ref="A4:C6"/>
    <mergeCell ref="A7:C7"/>
    <mergeCell ref="D4:X6"/>
    <mergeCell ref="D7:X7"/>
    <mergeCell ref="A2:X2"/>
    <mergeCell ref="J33:K33"/>
    <mergeCell ref="J34:K34"/>
    <mergeCell ref="B23:I23"/>
    <mergeCell ref="B24:I24"/>
    <mergeCell ref="B25:I25"/>
    <mergeCell ref="J24:K24"/>
    <mergeCell ref="B26:I26"/>
    <mergeCell ref="B33:I33"/>
    <mergeCell ref="B34:I34"/>
    <mergeCell ref="J28:K28"/>
    <mergeCell ref="J29:K29"/>
    <mergeCell ref="J30:K30"/>
    <mergeCell ref="J31:K31"/>
    <mergeCell ref="B27:I27"/>
    <mergeCell ref="J32:K32"/>
    <mergeCell ref="B32:I32"/>
  </mergeCells>
  <phoneticPr fontId="41"/>
  <dataValidations count="2">
    <dataValidation type="list" allowBlank="1" showInputMessage="1" showErrorMessage="1" sqref="L23:X34" xr:uid="{00000000-0002-0000-0800-000000000000}">
      <formula1>"○,●,○●"</formula1>
    </dataValidation>
    <dataValidation operator="greaterThanOrEqual" allowBlank="1" showInputMessage="1" showErrorMessage="1" sqref="D7:X7" xr:uid="{00000000-0002-0000-0800-000001000000}"/>
  </dataValidations>
  <printOptions horizontalCentered="1"/>
  <pageMargins left="0.70866141732283472" right="0.70866141732283472" top="0.74803149606299213" bottom="0.74803149606299213" header="0.31496062992125984" footer="0.31496062992125984"/>
  <pageSetup paperSize="9" scale="6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79998168889431442"/>
  </sheetPr>
  <dimension ref="B1:BM65"/>
  <sheetViews>
    <sheetView view="pageBreakPreview" topLeftCell="A40" zoomScale="225" zoomScaleNormal="100" zoomScaleSheetLayoutView="225" workbookViewId="0">
      <selection activeCell="P39" sqref="P39:AC39"/>
    </sheetView>
  </sheetViews>
  <sheetFormatPr baseColWidth="10" defaultColWidth="2" defaultRowHeight="18"/>
  <cols>
    <col min="1" max="1" width="0.83203125" style="94" customWidth="1"/>
    <col min="2" max="14" width="2" style="94"/>
    <col min="15" max="15" width="4.83203125" style="94" customWidth="1"/>
    <col min="16" max="65" width="2" style="94"/>
    <col min="66" max="66" width="0.83203125" style="94" customWidth="1"/>
    <col min="67" max="83" width="2" style="94"/>
    <col min="84" max="84" width="2" style="94" customWidth="1"/>
    <col min="85" max="16384" width="2" style="94"/>
  </cols>
  <sheetData>
    <row r="1" spans="2:65" ht="20">
      <c r="B1" s="93" t="s">
        <v>524</v>
      </c>
    </row>
    <row r="2" spans="2:65">
      <c r="B2" s="95" t="s">
        <v>461</v>
      </c>
    </row>
    <row r="3" spans="2:65">
      <c r="B3" s="95"/>
      <c r="C3" s="94" t="s">
        <v>246</v>
      </c>
    </row>
    <row r="4" spans="2:65">
      <c r="B4" s="96" t="s">
        <v>529</v>
      </c>
    </row>
    <row r="5" spans="2:65">
      <c r="B5" s="96" t="s">
        <v>422</v>
      </c>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03" t="s">
        <v>247</v>
      </c>
      <c r="AN7" s="903"/>
      <c r="AO7" s="903"/>
      <c r="AP7" s="903"/>
      <c r="AQ7" s="903"/>
      <c r="AR7" s="903"/>
      <c r="AS7" s="903" t="s">
        <v>247</v>
      </c>
      <c r="AT7" s="903"/>
      <c r="AU7" s="903"/>
      <c r="AV7" s="903"/>
      <c r="AW7" s="903"/>
      <c r="AX7" s="903"/>
      <c r="AY7" s="903" t="s">
        <v>248</v>
      </c>
      <c r="AZ7" s="903"/>
      <c r="BA7" s="903"/>
      <c r="BB7" s="903"/>
      <c r="BC7" s="903"/>
      <c r="BD7" s="903"/>
      <c r="BE7" s="97"/>
      <c r="BF7" s="97"/>
      <c r="BG7" s="97"/>
      <c r="BH7" s="98"/>
      <c r="BI7" s="98"/>
      <c r="BJ7" s="97"/>
      <c r="BK7" s="97"/>
      <c r="BL7" s="97"/>
      <c r="BM7" s="99" t="s">
        <v>249</v>
      </c>
    </row>
    <row r="8" spans="2:65">
      <c r="B8" s="904" t="s">
        <v>250</v>
      </c>
      <c r="C8" s="891"/>
      <c r="D8" s="891"/>
      <c r="E8" s="892"/>
      <c r="F8" s="904" t="s">
        <v>251</v>
      </c>
      <c r="G8" s="891"/>
      <c r="H8" s="891"/>
      <c r="I8" s="891"/>
      <c r="J8" s="891"/>
      <c r="K8" s="891"/>
      <c r="L8" s="891"/>
      <c r="M8" s="891"/>
      <c r="N8" s="891"/>
      <c r="O8" s="892"/>
      <c r="P8" s="904" t="s">
        <v>252</v>
      </c>
      <c r="Q8" s="891"/>
      <c r="R8" s="891"/>
      <c r="S8" s="891"/>
      <c r="T8" s="891"/>
      <c r="U8" s="891"/>
      <c r="V8" s="891"/>
      <c r="W8" s="891"/>
      <c r="X8" s="891"/>
      <c r="Y8" s="891"/>
      <c r="Z8" s="891"/>
      <c r="AA8" s="891"/>
      <c r="AB8" s="891"/>
      <c r="AC8" s="892"/>
      <c r="AD8" s="904" t="s">
        <v>253</v>
      </c>
      <c r="AE8" s="891"/>
      <c r="AF8" s="892"/>
      <c r="AG8" s="904" t="s">
        <v>254</v>
      </c>
      <c r="AH8" s="891"/>
      <c r="AI8" s="891"/>
      <c r="AJ8" s="891"/>
      <c r="AK8" s="891"/>
      <c r="AL8" s="892"/>
      <c r="AM8" s="905" t="s">
        <v>255</v>
      </c>
      <c r="AN8" s="905"/>
      <c r="AO8" s="905"/>
      <c r="AP8" s="905"/>
      <c r="AQ8" s="905"/>
      <c r="AR8" s="905"/>
      <c r="AS8" s="904" t="s">
        <v>256</v>
      </c>
      <c r="AT8" s="891"/>
      <c r="AU8" s="891"/>
      <c r="AV8" s="891"/>
      <c r="AW8" s="891"/>
      <c r="AX8" s="892"/>
      <c r="AY8" s="904" t="s">
        <v>257</v>
      </c>
      <c r="AZ8" s="891"/>
      <c r="BA8" s="891"/>
      <c r="BB8" s="891"/>
      <c r="BC8" s="891"/>
      <c r="BD8" s="892"/>
      <c r="BE8" s="891" t="s">
        <v>258</v>
      </c>
      <c r="BF8" s="891"/>
      <c r="BG8" s="891"/>
      <c r="BH8" s="891"/>
      <c r="BI8" s="891"/>
      <c r="BJ8" s="891"/>
      <c r="BK8" s="891"/>
      <c r="BL8" s="891"/>
      <c r="BM8" s="892"/>
    </row>
    <row r="9" spans="2:65">
      <c r="B9" s="893" t="s">
        <v>259</v>
      </c>
      <c r="C9" s="894"/>
      <c r="D9" s="894"/>
      <c r="E9" s="895"/>
      <c r="F9" s="896"/>
      <c r="G9" s="897"/>
      <c r="H9" s="897"/>
      <c r="I9" s="897"/>
      <c r="J9" s="897"/>
      <c r="K9" s="897"/>
      <c r="L9" s="897"/>
      <c r="M9" s="897"/>
      <c r="N9" s="897"/>
      <c r="O9" s="898"/>
      <c r="P9" s="899" t="s">
        <v>260</v>
      </c>
      <c r="Q9" s="899"/>
      <c r="R9" s="899"/>
      <c r="S9" s="899"/>
      <c r="T9" s="899"/>
      <c r="U9" s="899"/>
      <c r="V9" s="899"/>
      <c r="W9" s="899"/>
      <c r="X9" s="899"/>
      <c r="Y9" s="899"/>
      <c r="Z9" s="899"/>
      <c r="AA9" s="899"/>
      <c r="AB9" s="899"/>
      <c r="AC9" s="899"/>
      <c r="AD9" s="899" t="s">
        <v>261</v>
      </c>
      <c r="AE9" s="899"/>
      <c r="AF9" s="899"/>
      <c r="AG9" s="899" t="s">
        <v>262</v>
      </c>
      <c r="AH9" s="899"/>
      <c r="AI9" s="899"/>
      <c r="AJ9" s="899"/>
      <c r="AK9" s="899"/>
      <c r="AL9" s="899"/>
      <c r="AM9" s="899" t="s">
        <v>263</v>
      </c>
      <c r="AN9" s="899"/>
      <c r="AO9" s="899"/>
      <c r="AP9" s="899"/>
      <c r="AQ9" s="899"/>
      <c r="AR9" s="899"/>
      <c r="AS9" s="899" t="s">
        <v>264</v>
      </c>
      <c r="AT9" s="899"/>
      <c r="AU9" s="899"/>
      <c r="AV9" s="899"/>
      <c r="AW9" s="899"/>
      <c r="AX9" s="899"/>
      <c r="AY9" s="899" t="s">
        <v>265</v>
      </c>
      <c r="AZ9" s="899"/>
      <c r="BA9" s="899"/>
      <c r="BB9" s="899"/>
      <c r="BC9" s="899"/>
      <c r="BD9" s="899"/>
      <c r="BE9" s="900" t="s">
        <v>266</v>
      </c>
      <c r="BF9" s="900"/>
      <c r="BG9" s="900"/>
      <c r="BH9" s="901" t="s">
        <v>267</v>
      </c>
      <c r="BI9" s="901"/>
      <c r="BJ9" s="901"/>
      <c r="BK9" s="902" t="s">
        <v>255</v>
      </c>
      <c r="BL9" s="902"/>
      <c r="BM9" s="902"/>
    </row>
    <row r="10" spans="2:65" ht="32.25" customHeight="1">
      <c r="B10" s="881" t="s">
        <v>268</v>
      </c>
      <c r="C10" s="881"/>
      <c r="D10" s="881"/>
      <c r="E10" s="881"/>
      <c r="F10" s="890" t="s">
        <v>701</v>
      </c>
      <c r="G10" s="882"/>
      <c r="H10" s="882"/>
      <c r="I10" s="882"/>
      <c r="J10" s="882"/>
      <c r="K10" s="882"/>
      <c r="L10" s="882"/>
      <c r="M10" s="882"/>
      <c r="N10" s="882"/>
      <c r="O10" s="882"/>
      <c r="P10" s="883"/>
      <c r="Q10" s="883"/>
      <c r="R10" s="883"/>
      <c r="S10" s="883"/>
      <c r="T10" s="883"/>
      <c r="U10" s="883"/>
      <c r="V10" s="883"/>
      <c r="W10" s="883"/>
      <c r="X10" s="883"/>
      <c r="Y10" s="883"/>
      <c r="Z10" s="883"/>
      <c r="AA10" s="883"/>
      <c r="AB10" s="883"/>
      <c r="AC10" s="883"/>
      <c r="AD10" s="884" t="s">
        <v>202</v>
      </c>
      <c r="AE10" s="884"/>
      <c r="AF10" s="884"/>
      <c r="AG10" s="885">
        <v>5</v>
      </c>
      <c r="AH10" s="885"/>
      <c r="AI10" s="885"/>
      <c r="AJ10" s="885"/>
      <c r="AK10" s="885"/>
      <c r="AL10" s="885"/>
      <c r="AM10" s="885">
        <v>3500</v>
      </c>
      <c r="AN10" s="885"/>
      <c r="AO10" s="885"/>
      <c r="AP10" s="885"/>
      <c r="AQ10" s="885"/>
      <c r="AR10" s="885"/>
      <c r="AS10" s="886">
        <f>IF(AM10="","",AG10*AM10)</f>
        <v>17500</v>
      </c>
      <c r="AT10" s="886"/>
      <c r="AU10" s="886"/>
      <c r="AV10" s="886"/>
      <c r="AW10" s="886"/>
      <c r="AX10" s="886"/>
      <c r="AY10" s="886">
        <f>IF(AM10="","",ROUNDDOWN(AG10*AM10*1.1,0))</f>
        <v>19250</v>
      </c>
      <c r="AZ10" s="886"/>
      <c r="BA10" s="886"/>
      <c r="BB10" s="886"/>
      <c r="BC10" s="886"/>
      <c r="BD10" s="886"/>
      <c r="BE10" s="878" t="str">
        <f>IF(AS10="","",IF(AS10&gt;=300000,"必要",""))</f>
        <v/>
      </c>
      <c r="BF10" s="878"/>
      <c r="BG10" s="878"/>
      <c r="BH10" s="878" t="str">
        <f>IF(AS10="","",IF(AS10&gt;=1000000,"必要",""))</f>
        <v/>
      </c>
      <c r="BI10" s="878"/>
      <c r="BJ10" s="878"/>
      <c r="BK10" s="879" t="str">
        <f>IF(AM10="","",IF(AM10&lt;100000,"×","〇"))</f>
        <v>×</v>
      </c>
      <c r="BL10" s="879"/>
      <c r="BM10" s="879"/>
    </row>
    <row r="11" spans="2:65" ht="32.25" customHeight="1">
      <c r="B11" s="881" t="s">
        <v>269</v>
      </c>
      <c r="C11" s="881"/>
      <c r="D11" s="881"/>
      <c r="E11" s="881"/>
      <c r="F11" s="890" t="s">
        <v>702</v>
      </c>
      <c r="G11" s="882"/>
      <c r="H11" s="882"/>
      <c r="I11" s="882"/>
      <c r="J11" s="882"/>
      <c r="K11" s="882"/>
      <c r="L11" s="882"/>
      <c r="M11" s="882"/>
      <c r="N11" s="882"/>
      <c r="O11" s="882"/>
      <c r="P11" s="883"/>
      <c r="Q11" s="883"/>
      <c r="R11" s="883"/>
      <c r="S11" s="883"/>
      <c r="T11" s="883"/>
      <c r="U11" s="883"/>
      <c r="V11" s="883"/>
      <c r="W11" s="883"/>
      <c r="X11" s="883"/>
      <c r="Y11" s="883"/>
      <c r="Z11" s="883"/>
      <c r="AA11" s="883"/>
      <c r="AB11" s="883"/>
      <c r="AC11" s="883"/>
      <c r="AD11" s="884" t="s">
        <v>202</v>
      </c>
      <c r="AE11" s="884"/>
      <c r="AF11" s="884"/>
      <c r="AG11" s="885">
        <v>5</v>
      </c>
      <c r="AH11" s="885"/>
      <c r="AI11" s="885"/>
      <c r="AJ11" s="885"/>
      <c r="AK11" s="885"/>
      <c r="AL11" s="885"/>
      <c r="AM11" s="885">
        <v>4500</v>
      </c>
      <c r="AN11" s="885"/>
      <c r="AO11" s="885"/>
      <c r="AP11" s="885"/>
      <c r="AQ11" s="885"/>
      <c r="AR11" s="885"/>
      <c r="AS11" s="886">
        <f t="shared" ref="AS11:AS64" si="0">IF(AM11="","",AG11*AM11)</f>
        <v>22500</v>
      </c>
      <c r="AT11" s="886"/>
      <c r="AU11" s="886"/>
      <c r="AV11" s="886"/>
      <c r="AW11" s="886"/>
      <c r="AX11" s="886"/>
      <c r="AY11" s="886">
        <f t="shared" ref="AY11:AY64" si="1">IF(AM11="","",ROUNDDOWN(AG11*AM11*1.1,0))</f>
        <v>24750</v>
      </c>
      <c r="AZ11" s="886"/>
      <c r="BA11" s="886"/>
      <c r="BB11" s="886"/>
      <c r="BC11" s="886"/>
      <c r="BD11" s="886"/>
      <c r="BE11" s="878" t="str">
        <f t="shared" ref="BE11:BE64" si="2">IF(AS11="","",IF(AS11&gt;=300000,"必要",""))</f>
        <v/>
      </c>
      <c r="BF11" s="878"/>
      <c r="BG11" s="878"/>
      <c r="BH11" s="878" t="str">
        <f t="shared" ref="BH11:BH64" si="3">IF(AS11="","",IF(AS11&gt;=1000000,"必要",""))</f>
        <v/>
      </c>
      <c r="BI11" s="878"/>
      <c r="BJ11" s="878"/>
      <c r="BK11" s="879" t="str">
        <f t="shared" ref="BK11:BK64" si="4">IF(AM11="","",IF(AM11&lt;100000,"×","〇"))</f>
        <v>×</v>
      </c>
      <c r="BL11" s="879"/>
      <c r="BM11" s="879"/>
    </row>
    <row r="12" spans="2:65" ht="32.25" customHeight="1">
      <c r="B12" s="881" t="s">
        <v>270</v>
      </c>
      <c r="C12" s="881"/>
      <c r="D12" s="881"/>
      <c r="E12" s="881"/>
      <c r="F12" s="890" t="s">
        <v>703</v>
      </c>
      <c r="G12" s="882"/>
      <c r="H12" s="882"/>
      <c r="I12" s="882"/>
      <c r="J12" s="882"/>
      <c r="K12" s="882"/>
      <c r="L12" s="882"/>
      <c r="M12" s="882"/>
      <c r="N12" s="882"/>
      <c r="O12" s="882"/>
      <c r="P12" s="883"/>
      <c r="Q12" s="883"/>
      <c r="R12" s="883"/>
      <c r="S12" s="883"/>
      <c r="T12" s="883"/>
      <c r="U12" s="883"/>
      <c r="V12" s="883"/>
      <c r="W12" s="883"/>
      <c r="X12" s="883"/>
      <c r="Y12" s="883"/>
      <c r="Z12" s="883"/>
      <c r="AA12" s="883"/>
      <c r="AB12" s="883"/>
      <c r="AC12" s="883"/>
      <c r="AD12" s="884" t="s">
        <v>202</v>
      </c>
      <c r="AE12" s="884"/>
      <c r="AF12" s="884"/>
      <c r="AG12" s="885">
        <v>7</v>
      </c>
      <c r="AH12" s="885"/>
      <c r="AI12" s="885"/>
      <c r="AJ12" s="885"/>
      <c r="AK12" s="885"/>
      <c r="AL12" s="885"/>
      <c r="AM12" s="885">
        <v>5000</v>
      </c>
      <c r="AN12" s="885"/>
      <c r="AO12" s="885"/>
      <c r="AP12" s="885"/>
      <c r="AQ12" s="885"/>
      <c r="AR12" s="885"/>
      <c r="AS12" s="886">
        <f t="shared" si="0"/>
        <v>35000</v>
      </c>
      <c r="AT12" s="886"/>
      <c r="AU12" s="886"/>
      <c r="AV12" s="886"/>
      <c r="AW12" s="886"/>
      <c r="AX12" s="886"/>
      <c r="AY12" s="886">
        <f t="shared" si="1"/>
        <v>38500</v>
      </c>
      <c r="AZ12" s="886"/>
      <c r="BA12" s="886"/>
      <c r="BB12" s="886"/>
      <c r="BC12" s="886"/>
      <c r="BD12" s="886"/>
      <c r="BE12" s="878" t="str">
        <f t="shared" si="2"/>
        <v/>
      </c>
      <c r="BF12" s="878"/>
      <c r="BG12" s="878"/>
      <c r="BH12" s="878" t="str">
        <f t="shared" si="3"/>
        <v/>
      </c>
      <c r="BI12" s="878"/>
      <c r="BJ12" s="878"/>
      <c r="BK12" s="879" t="str">
        <f t="shared" si="4"/>
        <v>×</v>
      </c>
      <c r="BL12" s="879"/>
      <c r="BM12" s="879"/>
    </row>
    <row r="13" spans="2:65" ht="32.25" customHeight="1">
      <c r="B13" s="881" t="s">
        <v>271</v>
      </c>
      <c r="C13" s="881"/>
      <c r="D13" s="881"/>
      <c r="E13" s="881"/>
      <c r="F13" s="863" t="s">
        <v>707</v>
      </c>
      <c r="G13" s="864"/>
      <c r="H13" s="864"/>
      <c r="I13" s="864"/>
      <c r="J13" s="864"/>
      <c r="K13" s="864"/>
      <c r="L13" s="864"/>
      <c r="M13" s="864"/>
      <c r="N13" s="864"/>
      <c r="O13" s="865"/>
      <c r="P13" s="866"/>
      <c r="Q13" s="867"/>
      <c r="R13" s="867"/>
      <c r="S13" s="867"/>
      <c r="T13" s="867"/>
      <c r="U13" s="867"/>
      <c r="V13" s="867"/>
      <c r="W13" s="867"/>
      <c r="X13" s="867"/>
      <c r="Y13" s="867"/>
      <c r="Z13" s="867"/>
      <c r="AA13" s="867"/>
      <c r="AB13" s="867"/>
      <c r="AC13" s="868"/>
      <c r="AD13" s="869" t="s">
        <v>202</v>
      </c>
      <c r="AE13" s="870"/>
      <c r="AF13" s="871"/>
      <c r="AG13" s="872">
        <v>1</v>
      </c>
      <c r="AH13" s="873"/>
      <c r="AI13" s="873"/>
      <c r="AJ13" s="873"/>
      <c r="AK13" s="873"/>
      <c r="AL13" s="874"/>
      <c r="AM13" s="872">
        <v>4130</v>
      </c>
      <c r="AN13" s="873"/>
      <c r="AO13" s="873"/>
      <c r="AP13" s="873"/>
      <c r="AQ13" s="873"/>
      <c r="AR13" s="874"/>
      <c r="AS13" s="886">
        <f t="shared" si="0"/>
        <v>4130</v>
      </c>
      <c r="AT13" s="886"/>
      <c r="AU13" s="886"/>
      <c r="AV13" s="886"/>
      <c r="AW13" s="886"/>
      <c r="AX13" s="886"/>
      <c r="AY13" s="886">
        <f t="shared" si="1"/>
        <v>4543</v>
      </c>
      <c r="AZ13" s="886"/>
      <c r="BA13" s="886"/>
      <c r="BB13" s="886"/>
      <c r="BC13" s="886"/>
      <c r="BD13" s="886"/>
      <c r="BE13" s="878" t="str">
        <f t="shared" si="2"/>
        <v/>
      </c>
      <c r="BF13" s="878"/>
      <c r="BG13" s="878"/>
      <c r="BH13" s="878" t="str">
        <f t="shared" si="3"/>
        <v/>
      </c>
      <c r="BI13" s="878"/>
      <c r="BJ13" s="878"/>
      <c r="BK13" s="879" t="str">
        <f t="shared" si="4"/>
        <v>×</v>
      </c>
      <c r="BL13" s="879"/>
      <c r="BM13" s="879"/>
    </row>
    <row r="14" spans="2:65" ht="32.25" customHeight="1">
      <c r="B14" s="881" t="s">
        <v>272</v>
      </c>
      <c r="C14" s="881"/>
      <c r="D14" s="881"/>
      <c r="E14" s="881"/>
      <c r="F14" s="863" t="s">
        <v>706</v>
      </c>
      <c r="G14" s="864"/>
      <c r="H14" s="864"/>
      <c r="I14" s="864"/>
      <c r="J14" s="864"/>
      <c r="K14" s="864"/>
      <c r="L14" s="864"/>
      <c r="M14" s="864"/>
      <c r="N14" s="864"/>
      <c r="O14" s="865"/>
      <c r="P14" s="866"/>
      <c r="Q14" s="867"/>
      <c r="R14" s="867"/>
      <c r="S14" s="867"/>
      <c r="T14" s="867"/>
      <c r="U14" s="867"/>
      <c r="V14" s="867"/>
      <c r="W14" s="867"/>
      <c r="X14" s="867"/>
      <c r="Y14" s="867"/>
      <c r="Z14" s="867"/>
      <c r="AA14" s="867"/>
      <c r="AB14" s="867"/>
      <c r="AC14" s="868"/>
      <c r="AD14" s="869" t="s">
        <v>202</v>
      </c>
      <c r="AE14" s="870"/>
      <c r="AF14" s="871"/>
      <c r="AG14" s="872">
        <v>1</v>
      </c>
      <c r="AH14" s="873"/>
      <c r="AI14" s="873"/>
      <c r="AJ14" s="873"/>
      <c r="AK14" s="873"/>
      <c r="AL14" s="874"/>
      <c r="AM14" s="872">
        <v>5300</v>
      </c>
      <c r="AN14" s="873"/>
      <c r="AO14" s="873"/>
      <c r="AP14" s="873"/>
      <c r="AQ14" s="873"/>
      <c r="AR14" s="874"/>
      <c r="AS14" s="886">
        <f t="shared" si="0"/>
        <v>5300</v>
      </c>
      <c r="AT14" s="886"/>
      <c r="AU14" s="886"/>
      <c r="AV14" s="886"/>
      <c r="AW14" s="886"/>
      <c r="AX14" s="886"/>
      <c r="AY14" s="886">
        <f t="shared" si="1"/>
        <v>5830</v>
      </c>
      <c r="AZ14" s="886"/>
      <c r="BA14" s="886"/>
      <c r="BB14" s="886"/>
      <c r="BC14" s="886"/>
      <c r="BD14" s="886"/>
      <c r="BE14" s="878" t="str">
        <f t="shared" si="2"/>
        <v/>
      </c>
      <c r="BF14" s="878"/>
      <c r="BG14" s="878"/>
      <c r="BH14" s="878" t="str">
        <f t="shared" si="3"/>
        <v/>
      </c>
      <c r="BI14" s="878"/>
      <c r="BJ14" s="878"/>
      <c r="BK14" s="879" t="str">
        <f t="shared" si="4"/>
        <v>×</v>
      </c>
      <c r="BL14" s="879"/>
      <c r="BM14" s="879"/>
    </row>
    <row r="15" spans="2:65" ht="32.25" customHeight="1">
      <c r="B15" s="881" t="s">
        <v>273</v>
      </c>
      <c r="C15" s="881"/>
      <c r="D15" s="881"/>
      <c r="E15" s="881"/>
      <c r="F15" s="863" t="s">
        <v>708</v>
      </c>
      <c r="G15" s="864"/>
      <c r="H15" s="864"/>
      <c r="I15" s="864"/>
      <c r="J15" s="864"/>
      <c r="K15" s="864"/>
      <c r="L15" s="864"/>
      <c r="M15" s="864"/>
      <c r="N15" s="864"/>
      <c r="O15" s="865"/>
      <c r="P15" s="866"/>
      <c r="Q15" s="867"/>
      <c r="R15" s="867"/>
      <c r="S15" s="867"/>
      <c r="T15" s="867"/>
      <c r="U15" s="867"/>
      <c r="V15" s="867"/>
      <c r="W15" s="867"/>
      <c r="X15" s="867"/>
      <c r="Y15" s="867"/>
      <c r="Z15" s="867"/>
      <c r="AA15" s="867"/>
      <c r="AB15" s="867"/>
      <c r="AC15" s="868"/>
      <c r="AD15" s="869" t="s">
        <v>202</v>
      </c>
      <c r="AE15" s="870"/>
      <c r="AF15" s="871"/>
      <c r="AG15" s="872">
        <v>1</v>
      </c>
      <c r="AH15" s="873"/>
      <c r="AI15" s="873"/>
      <c r="AJ15" s="873"/>
      <c r="AK15" s="873"/>
      <c r="AL15" s="874"/>
      <c r="AM15" s="872">
        <v>4130</v>
      </c>
      <c r="AN15" s="873"/>
      <c r="AO15" s="873"/>
      <c r="AP15" s="873"/>
      <c r="AQ15" s="873"/>
      <c r="AR15" s="874"/>
      <c r="AS15" s="886">
        <f t="shared" si="0"/>
        <v>4130</v>
      </c>
      <c r="AT15" s="886"/>
      <c r="AU15" s="886"/>
      <c r="AV15" s="886"/>
      <c r="AW15" s="886"/>
      <c r="AX15" s="886"/>
      <c r="AY15" s="886">
        <f t="shared" si="1"/>
        <v>4543</v>
      </c>
      <c r="AZ15" s="886"/>
      <c r="BA15" s="886"/>
      <c r="BB15" s="886"/>
      <c r="BC15" s="886"/>
      <c r="BD15" s="886"/>
      <c r="BE15" s="878" t="str">
        <f t="shared" si="2"/>
        <v/>
      </c>
      <c r="BF15" s="878"/>
      <c r="BG15" s="878"/>
      <c r="BH15" s="878" t="str">
        <f t="shared" si="3"/>
        <v/>
      </c>
      <c r="BI15" s="878"/>
      <c r="BJ15" s="878"/>
      <c r="BK15" s="879" t="str">
        <f t="shared" si="4"/>
        <v>×</v>
      </c>
      <c r="BL15" s="879"/>
      <c r="BM15" s="879"/>
    </row>
    <row r="16" spans="2:65" ht="32.25" customHeight="1">
      <c r="B16" s="881" t="s">
        <v>274</v>
      </c>
      <c r="C16" s="881"/>
      <c r="D16" s="881"/>
      <c r="E16" s="881"/>
      <c r="F16" s="882" t="s">
        <v>709</v>
      </c>
      <c r="G16" s="882"/>
      <c r="H16" s="882"/>
      <c r="I16" s="882"/>
      <c r="J16" s="882"/>
      <c r="K16" s="882"/>
      <c r="L16" s="882"/>
      <c r="M16" s="882"/>
      <c r="N16" s="882"/>
      <c r="O16" s="882"/>
      <c r="P16" s="866"/>
      <c r="Q16" s="867"/>
      <c r="R16" s="867"/>
      <c r="S16" s="867"/>
      <c r="T16" s="867"/>
      <c r="U16" s="867"/>
      <c r="V16" s="867"/>
      <c r="W16" s="867"/>
      <c r="X16" s="867"/>
      <c r="Y16" s="867"/>
      <c r="Z16" s="867"/>
      <c r="AA16" s="867"/>
      <c r="AB16" s="867"/>
      <c r="AC16" s="868"/>
      <c r="AD16" s="869" t="s">
        <v>202</v>
      </c>
      <c r="AE16" s="870"/>
      <c r="AF16" s="871"/>
      <c r="AG16" s="872">
        <v>1</v>
      </c>
      <c r="AH16" s="873"/>
      <c r="AI16" s="873"/>
      <c r="AJ16" s="873"/>
      <c r="AK16" s="873"/>
      <c r="AL16" s="874"/>
      <c r="AM16" s="872">
        <v>4100</v>
      </c>
      <c r="AN16" s="873"/>
      <c r="AO16" s="873"/>
      <c r="AP16" s="873"/>
      <c r="AQ16" s="873"/>
      <c r="AR16" s="874"/>
      <c r="AS16" s="886">
        <f t="shared" si="0"/>
        <v>4100</v>
      </c>
      <c r="AT16" s="886"/>
      <c r="AU16" s="886"/>
      <c r="AV16" s="886"/>
      <c r="AW16" s="886"/>
      <c r="AX16" s="886"/>
      <c r="AY16" s="886">
        <f t="shared" si="1"/>
        <v>4510</v>
      </c>
      <c r="AZ16" s="886"/>
      <c r="BA16" s="886"/>
      <c r="BB16" s="886"/>
      <c r="BC16" s="886"/>
      <c r="BD16" s="886"/>
      <c r="BE16" s="878" t="str">
        <f t="shared" si="2"/>
        <v/>
      </c>
      <c r="BF16" s="878"/>
      <c r="BG16" s="878"/>
      <c r="BH16" s="878" t="str">
        <f t="shared" si="3"/>
        <v/>
      </c>
      <c r="BI16" s="878"/>
      <c r="BJ16" s="878"/>
      <c r="BK16" s="879" t="str">
        <f t="shared" si="4"/>
        <v>×</v>
      </c>
      <c r="BL16" s="879"/>
      <c r="BM16" s="879"/>
    </row>
    <row r="17" spans="2:65" ht="32.25" customHeight="1">
      <c r="B17" s="881" t="s">
        <v>275</v>
      </c>
      <c r="C17" s="881"/>
      <c r="D17" s="881"/>
      <c r="E17" s="881"/>
      <c r="F17" s="882" t="s">
        <v>710</v>
      </c>
      <c r="G17" s="882"/>
      <c r="H17" s="882"/>
      <c r="I17" s="882"/>
      <c r="J17" s="882"/>
      <c r="K17" s="882"/>
      <c r="L17" s="882"/>
      <c r="M17" s="882"/>
      <c r="N17" s="882"/>
      <c r="O17" s="882"/>
      <c r="P17" s="866"/>
      <c r="Q17" s="867"/>
      <c r="R17" s="867"/>
      <c r="S17" s="867"/>
      <c r="T17" s="867"/>
      <c r="U17" s="867"/>
      <c r="V17" s="867"/>
      <c r="W17" s="867"/>
      <c r="X17" s="867"/>
      <c r="Y17" s="867"/>
      <c r="Z17" s="867"/>
      <c r="AA17" s="867"/>
      <c r="AB17" s="867"/>
      <c r="AC17" s="868"/>
      <c r="AD17" s="869" t="s">
        <v>202</v>
      </c>
      <c r="AE17" s="870"/>
      <c r="AF17" s="871"/>
      <c r="AG17" s="872">
        <v>1</v>
      </c>
      <c r="AH17" s="873"/>
      <c r="AI17" s="873"/>
      <c r="AJ17" s="873"/>
      <c r="AK17" s="873"/>
      <c r="AL17" s="874"/>
      <c r="AM17" s="885">
        <v>1640</v>
      </c>
      <c r="AN17" s="885"/>
      <c r="AO17" s="885"/>
      <c r="AP17" s="885"/>
      <c r="AQ17" s="885"/>
      <c r="AR17" s="885"/>
      <c r="AS17" s="886">
        <f t="shared" si="0"/>
        <v>1640</v>
      </c>
      <c r="AT17" s="886"/>
      <c r="AU17" s="886"/>
      <c r="AV17" s="886"/>
      <c r="AW17" s="886"/>
      <c r="AX17" s="886"/>
      <c r="AY17" s="886">
        <f t="shared" si="1"/>
        <v>1804</v>
      </c>
      <c r="AZ17" s="886"/>
      <c r="BA17" s="886"/>
      <c r="BB17" s="886"/>
      <c r="BC17" s="886"/>
      <c r="BD17" s="886"/>
      <c r="BE17" s="878" t="str">
        <f t="shared" si="2"/>
        <v/>
      </c>
      <c r="BF17" s="878"/>
      <c r="BG17" s="878"/>
      <c r="BH17" s="878" t="str">
        <f t="shared" si="3"/>
        <v/>
      </c>
      <c r="BI17" s="878"/>
      <c r="BJ17" s="878"/>
      <c r="BK17" s="879" t="str">
        <f t="shared" si="4"/>
        <v>×</v>
      </c>
      <c r="BL17" s="879"/>
      <c r="BM17" s="879"/>
    </row>
    <row r="18" spans="2:65" ht="32.25" customHeight="1">
      <c r="B18" s="881" t="s">
        <v>276</v>
      </c>
      <c r="C18" s="881"/>
      <c r="D18" s="881"/>
      <c r="E18" s="881"/>
      <c r="F18" s="882" t="s">
        <v>718</v>
      </c>
      <c r="G18" s="882"/>
      <c r="H18" s="882"/>
      <c r="I18" s="882"/>
      <c r="J18" s="882"/>
      <c r="K18" s="882"/>
      <c r="L18" s="882"/>
      <c r="M18" s="882"/>
      <c r="N18" s="882"/>
      <c r="O18" s="882"/>
      <c r="P18" s="883"/>
      <c r="Q18" s="883"/>
      <c r="R18" s="883"/>
      <c r="S18" s="883"/>
      <c r="T18" s="883"/>
      <c r="U18" s="883"/>
      <c r="V18" s="883"/>
      <c r="W18" s="883"/>
      <c r="X18" s="883"/>
      <c r="Y18" s="883"/>
      <c r="Z18" s="883"/>
      <c r="AA18" s="883"/>
      <c r="AB18" s="883"/>
      <c r="AC18" s="883"/>
      <c r="AD18" s="884" t="s">
        <v>202</v>
      </c>
      <c r="AE18" s="884"/>
      <c r="AF18" s="884"/>
      <c r="AG18" s="885">
        <v>1</v>
      </c>
      <c r="AH18" s="885"/>
      <c r="AI18" s="885"/>
      <c r="AJ18" s="885"/>
      <c r="AK18" s="885"/>
      <c r="AL18" s="885"/>
      <c r="AM18" s="885">
        <v>4720</v>
      </c>
      <c r="AN18" s="885"/>
      <c r="AO18" s="885"/>
      <c r="AP18" s="885"/>
      <c r="AQ18" s="885"/>
      <c r="AR18" s="885"/>
      <c r="AS18" s="886">
        <f t="shared" si="0"/>
        <v>4720</v>
      </c>
      <c r="AT18" s="886"/>
      <c r="AU18" s="886"/>
      <c r="AV18" s="886"/>
      <c r="AW18" s="886"/>
      <c r="AX18" s="886"/>
      <c r="AY18" s="886">
        <f t="shared" si="1"/>
        <v>5192</v>
      </c>
      <c r="AZ18" s="886"/>
      <c r="BA18" s="886"/>
      <c r="BB18" s="886"/>
      <c r="BC18" s="886"/>
      <c r="BD18" s="886"/>
      <c r="BE18" s="878" t="str">
        <f t="shared" si="2"/>
        <v/>
      </c>
      <c r="BF18" s="878"/>
      <c r="BG18" s="878"/>
      <c r="BH18" s="878" t="str">
        <f t="shared" si="3"/>
        <v/>
      </c>
      <c r="BI18" s="878"/>
      <c r="BJ18" s="878"/>
      <c r="BK18" s="879" t="str">
        <f t="shared" si="4"/>
        <v>×</v>
      </c>
      <c r="BL18" s="879"/>
      <c r="BM18" s="879"/>
    </row>
    <row r="19" spans="2:65" ht="32.25" customHeight="1">
      <c r="B19" s="881" t="s">
        <v>277</v>
      </c>
      <c r="C19" s="881"/>
      <c r="D19" s="881"/>
      <c r="E19" s="881"/>
      <c r="F19" s="882" t="s">
        <v>719</v>
      </c>
      <c r="G19" s="882"/>
      <c r="H19" s="882"/>
      <c r="I19" s="882"/>
      <c r="J19" s="882"/>
      <c r="K19" s="882"/>
      <c r="L19" s="882"/>
      <c r="M19" s="882"/>
      <c r="N19" s="882"/>
      <c r="O19" s="882"/>
      <c r="P19" s="883"/>
      <c r="Q19" s="883"/>
      <c r="R19" s="883"/>
      <c r="S19" s="883"/>
      <c r="T19" s="883"/>
      <c r="U19" s="883"/>
      <c r="V19" s="883"/>
      <c r="W19" s="883"/>
      <c r="X19" s="883"/>
      <c r="Y19" s="883"/>
      <c r="Z19" s="883"/>
      <c r="AA19" s="883"/>
      <c r="AB19" s="883"/>
      <c r="AC19" s="883"/>
      <c r="AD19" s="884" t="s">
        <v>202</v>
      </c>
      <c r="AE19" s="884"/>
      <c r="AF19" s="884"/>
      <c r="AG19" s="885">
        <v>1</v>
      </c>
      <c r="AH19" s="885"/>
      <c r="AI19" s="885"/>
      <c r="AJ19" s="885"/>
      <c r="AK19" s="885"/>
      <c r="AL19" s="885"/>
      <c r="AM19" s="885">
        <v>6600</v>
      </c>
      <c r="AN19" s="885"/>
      <c r="AO19" s="885"/>
      <c r="AP19" s="885"/>
      <c r="AQ19" s="885"/>
      <c r="AR19" s="885"/>
      <c r="AS19" s="886">
        <f t="shared" si="0"/>
        <v>6600</v>
      </c>
      <c r="AT19" s="886"/>
      <c r="AU19" s="886"/>
      <c r="AV19" s="886"/>
      <c r="AW19" s="886"/>
      <c r="AX19" s="886"/>
      <c r="AY19" s="886">
        <f t="shared" si="1"/>
        <v>7260</v>
      </c>
      <c r="AZ19" s="886"/>
      <c r="BA19" s="886"/>
      <c r="BB19" s="886"/>
      <c r="BC19" s="886"/>
      <c r="BD19" s="886"/>
      <c r="BE19" s="878" t="str">
        <f t="shared" si="2"/>
        <v/>
      </c>
      <c r="BF19" s="878"/>
      <c r="BG19" s="878"/>
      <c r="BH19" s="878" t="str">
        <f t="shared" si="3"/>
        <v/>
      </c>
      <c r="BI19" s="878"/>
      <c r="BJ19" s="878"/>
      <c r="BK19" s="879" t="str">
        <f t="shared" si="4"/>
        <v>×</v>
      </c>
      <c r="BL19" s="879"/>
      <c r="BM19" s="879"/>
    </row>
    <row r="20" spans="2:65" ht="32.25" customHeight="1">
      <c r="B20" s="881" t="s">
        <v>278</v>
      </c>
      <c r="C20" s="881"/>
      <c r="D20" s="881"/>
      <c r="E20" s="881"/>
      <c r="F20" s="882" t="s">
        <v>720</v>
      </c>
      <c r="G20" s="882"/>
      <c r="H20" s="882"/>
      <c r="I20" s="882"/>
      <c r="J20" s="882"/>
      <c r="K20" s="882"/>
      <c r="L20" s="882"/>
      <c r="M20" s="882"/>
      <c r="N20" s="882"/>
      <c r="O20" s="882"/>
      <c r="P20" s="883"/>
      <c r="Q20" s="883"/>
      <c r="R20" s="883"/>
      <c r="S20" s="883"/>
      <c r="T20" s="883"/>
      <c r="U20" s="883"/>
      <c r="V20" s="883"/>
      <c r="W20" s="883"/>
      <c r="X20" s="883"/>
      <c r="Y20" s="883"/>
      <c r="Z20" s="883"/>
      <c r="AA20" s="883"/>
      <c r="AB20" s="883"/>
      <c r="AC20" s="883"/>
      <c r="AD20" s="884" t="s">
        <v>202</v>
      </c>
      <c r="AE20" s="884"/>
      <c r="AF20" s="884"/>
      <c r="AG20" s="885">
        <v>1</v>
      </c>
      <c r="AH20" s="885"/>
      <c r="AI20" s="885"/>
      <c r="AJ20" s="885"/>
      <c r="AK20" s="885"/>
      <c r="AL20" s="885"/>
      <c r="AM20" s="885">
        <v>6420</v>
      </c>
      <c r="AN20" s="885"/>
      <c r="AO20" s="885"/>
      <c r="AP20" s="885"/>
      <c r="AQ20" s="885"/>
      <c r="AR20" s="885"/>
      <c r="AS20" s="886">
        <f t="shared" si="0"/>
        <v>6420</v>
      </c>
      <c r="AT20" s="886"/>
      <c r="AU20" s="886"/>
      <c r="AV20" s="886"/>
      <c r="AW20" s="886"/>
      <c r="AX20" s="886"/>
      <c r="AY20" s="886">
        <f t="shared" si="1"/>
        <v>7062</v>
      </c>
      <c r="AZ20" s="886"/>
      <c r="BA20" s="886"/>
      <c r="BB20" s="886"/>
      <c r="BC20" s="886"/>
      <c r="BD20" s="886"/>
      <c r="BE20" s="878" t="str">
        <f t="shared" si="2"/>
        <v/>
      </c>
      <c r="BF20" s="878"/>
      <c r="BG20" s="878"/>
      <c r="BH20" s="878" t="str">
        <f t="shared" si="3"/>
        <v/>
      </c>
      <c r="BI20" s="878"/>
      <c r="BJ20" s="878"/>
      <c r="BK20" s="879" t="str">
        <f t="shared" si="4"/>
        <v>×</v>
      </c>
      <c r="BL20" s="879"/>
      <c r="BM20" s="879"/>
    </row>
    <row r="21" spans="2:65" ht="32.25" customHeight="1">
      <c r="B21" s="881" t="s">
        <v>279</v>
      </c>
      <c r="C21" s="881"/>
      <c r="D21" s="881"/>
      <c r="E21" s="881"/>
      <c r="F21" s="882" t="s">
        <v>725</v>
      </c>
      <c r="G21" s="882"/>
      <c r="H21" s="882"/>
      <c r="I21" s="882"/>
      <c r="J21" s="882"/>
      <c r="K21" s="882"/>
      <c r="L21" s="882"/>
      <c r="M21" s="882"/>
      <c r="N21" s="882"/>
      <c r="O21" s="882"/>
      <c r="P21" s="883"/>
      <c r="Q21" s="883"/>
      <c r="R21" s="883"/>
      <c r="S21" s="883"/>
      <c r="T21" s="883"/>
      <c r="U21" s="883"/>
      <c r="V21" s="883"/>
      <c r="W21" s="883"/>
      <c r="X21" s="883"/>
      <c r="Y21" s="883"/>
      <c r="Z21" s="883"/>
      <c r="AA21" s="883"/>
      <c r="AB21" s="883"/>
      <c r="AC21" s="883"/>
      <c r="AD21" s="884" t="s">
        <v>202</v>
      </c>
      <c r="AE21" s="884"/>
      <c r="AF21" s="884"/>
      <c r="AG21" s="885">
        <v>1</v>
      </c>
      <c r="AH21" s="885"/>
      <c r="AI21" s="885"/>
      <c r="AJ21" s="885"/>
      <c r="AK21" s="885"/>
      <c r="AL21" s="885"/>
      <c r="AM21" s="885">
        <v>2100</v>
      </c>
      <c r="AN21" s="885"/>
      <c r="AO21" s="885"/>
      <c r="AP21" s="885"/>
      <c r="AQ21" s="885"/>
      <c r="AR21" s="885"/>
      <c r="AS21" s="886">
        <f t="shared" ref="AS21:AS29" si="5">IF(AM21="","",AG21*AM21)</f>
        <v>2100</v>
      </c>
      <c r="AT21" s="886"/>
      <c r="AU21" s="886"/>
      <c r="AV21" s="886"/>
      <c r="AW21" s="886"/>
      <c r="AX21" s="886"/>
      <c r="AY21" s="886">
        <f t="shared" ref="AY21:AY29" si="6">IF(AM21="","",ROUNDDOWN(AG21*AM21*1.1,0))</f>
        <v>2310</v>
      </c>
      <c r="AZ21" s="886"/>
      <c r="BA21" s="886"/>
      <c r="BB21" s="886"/>
      <c r="BC21" s="886"/>
      <c r="BD21" s="886"/>
      <c r="BE21" s="878" t="str">
        <f t="shared" ref="BE21:BE29" si="7">IF(AS21="","",IF(AS21&gt;=300000,"必要",""))</f>
        <v/>
      </c>
      <c r="BF21" s="878"/>
      <c r="BG21" s="878"/>
      <c r="BH21" s="878" t="str">
        <f t="shared" ref="BH21:BH29" si="8">IF(AS21="","",IF(AS21&gt;=1000000,"必要",""))</f>
        <v/>
      </c>
      <c r="BI21" s="878"/>
      <c r="BJ21" s="878"/>
      <c r="BK21" s="879" t="str">
        <f t="shared" ref="BK21:BK29" si="9">IF(AM21="","",IF(AM21&lt;100000,"×","〇"))</f>
        <v>×</v>
      </c>
      <c r="BL21" s="879"/>
      <c r="BM21" s="879"/>
    </row>
    <row r="22" spans="2:65" ht="32.25" customHeight="1">
      <c r="B22" s="881" t="s">
        <v>280</v>
      </c>
      <c r="C22" s="881"/>
      <c r="D22" s="881"/>
      <c r="E22" s="881"/>
      <c r="F22" s="882" t="s">
        <v>726</v>
      </c>
      <c r="G22" s="882"/>
      <c r="H22" s="882"/>
      <c r="I22" s="882"/>
      <c r="J22" s="882"/>
      <c r="K22" s="882"/>
      <c r="L22" s="882"/>
      <c r="M22" s="882"/>
      <c r="N22" s="882"/>
      <c r="O22" s="882"/>
      <c r="P22" s="883"/>
      <c r="Q22" s="883"/>
      <c r="R22" s="883"/>
      <c r="S22" s="883"/>
      <c r="T22" s="883"/>
      <c r="U22" s="883"/>
      <c r="V22" s="883"/>
      <c r="W22" s="883"/>
      <c r="X22" s="883"/>
      <c r="Y22" s="883"/>
      <c r="Z22" s="883"/>
      <c r="AA22" s="883"/>
      <c r="AB22" s="883"/>
      <c r="AC22" s="883"/>
      <c r="AD22" s="884" t="s">
        <v>202</v>
      </c>
      <c r="AE22" s="884"/>
      <c r="AF22" s="884"/>
      <c r="AG22" s="885">
        <v>1</v>
      </c>
      <c r="AH22" s="885"/>
      <c r="AI22" s="885"/>
      <c r="AJ22" s="885"/>
      <c r="AK22" s="885"/>
      <c r="AL22" s="885"/>
      <c r="AM22" s="885">
        <v>3200</v>
      </c>
      <c r="AN22" s="885"/>
      <c r="AO22" s="885"/>
      <c r="AP22" s="885"/>
      <c r="AQ22" s="885"/>
      <c r="AR22" s="885"/>
      <c r="AS22" s="886">
        <f t="shared" si="5"/>
        <v>3200</v>
      </c>
      <c r="AT22" s="886"/>
      <c r="AU22" s="886"/>
      <c r="AV22" s="886"/>
      <c r="AW22" s="886"/>
      <c r="AX22" s="886"/>
      <c r="AY22" s="886">
        <f t="shared" si="6"/>
        <v>3520</v>
      </c>
      <c r="AZ22" s="886"/>
      <c r="BA22" s="886"/>
      <c r="BB22" s="886"/>
      <c r="BC22" s="886"/>
      <c r="BD22" s="886"/>
      <c r="BE22" s="878" t="str">
        <f t="shared" si="7"/>
        <v/>
      </c>
      <c r="BF22" s="878"/>
      <c r="BG22" s="878"/>
      <c r="BH22" s="878" t="str">
        <f t="shared" si="8"/>
        <v/>
      </c>
      <c r="BI22" s="878"/>
      <c r="BJ22" s="878"/>
      <c r="BK22" s="879" t="str">
        <f t="shared" si="9"/>
        <v>×</v>
      </c>
      <c r="BL22" s="879"/>
      <c r="BM22" s="879"/>
    </row>
    <row r="23" spans="2:65" ht="32.25" customHeight="1">
      <c r="B23" s="881" t="s">
        <v>281</v>
      </c>
      <c r="C23" s="881"/>
      <c r="D23" s="881"/>
      <c r="E23" s="881"/>
      <c r="F23" s="882" t="s">
        <v>727</v>
      </c>
      <c r="G23" s="882"/>
      <c r="H23" s="882"/>
      <c r="I23" s="882"/>
      <c r="J23" s="882"/>
      <c r="K23" s="882"/>
      <c r="L23" s="882"/>
      <c r="M23" s="882"/>
      <c r="N23" s="882"/>
      <c r="O23" s="882"/>
      <c r="P23" s="883"/>
      <c r="Q23" s="883"/>
      <c r="R23" s="883"/>
      <c r="S23" s="883"/>
      <c r="T23" s="883"/>
      <c r="U23" s="883"/>
      <c r="V23" s="883"/>
      <c r="W23" s="883"/>
      <c r="X23" s="883"/>
      <c r="Y23" s="883"/>
      <c r="Z23" s="883"/>
      <c r="AA23" s="883"/>
      <c r="AB23" s="883"/>
      <c r="AC23" s="883"/>
      <c r="AD23" s="884" t="s">
        <v>202</v>
      </c>
      <c r="AE23" s="884"/>
      <c r="AF23" s="884"/>
      <c r="AG23" s="885">
        <v>1</v>
      </c>
      <c r="AH23" s="885"/>
      <c r="AI23" s="885"/>
      <c r="AJ23" s="885"/>
      <c r="AK23" s="885"/>
      <c r="AL23" s="885"/>
      <c r="AM23" s="885">
        <v>1300</v>
      </c>
      <c r="AN23" s="885"/>
      <c r="AO23" s="885"/>
      <c r="AP23" s="885"/>
      <c r="AQ23" s="885"/>
      <c r="AR23" s="885"/>
      <c r="AS23" s="886">
        <f t="shared" si="5"/>
        <v>1300</v>
      </c>
      <c r="AT23" s="886"/>
      <c r="AU23" s="886"/>
      <c r="AV23" s="886"/>
      <c r="AW23" s="886"/>
      <c r="AX23" s="886"/>
      <c r="AY23" s="886">
        <f t="shared" si="6"/>
        <v>1430</v>
      </c>
      <c r="AZ23" s="886"/>
      <c r="BA23" s="886"/>
      <c r="BB23" s="886"/>
      <c r="BC23" s="886"/>
      <c r="BD23" s="886"/>
      <c r="BE23" s="878" t="str">
        <f t="shared" si="7"/>
        <v/>
      </c>
      <c r="BF23" s="878"/>
      <c r="BG23" s="878"/>
      <c r="BH23" s="878" t="str">
        <f t="shared" si="8"/>
        <v/>
      </c>
      <c r="BI23" s="878"/>
      <c r="BJ23" s="878"/>
      <c r="BK23" s="879" t="str">
        <f t="shared" si="9"/>
        <v>×</v>
      </c>
      <c r="BL23" s="879"/>
      <c r="BM23" s="879"/>
    </row>
    <row r="24" spans="2:65" ht="32.25" customHeight="1">
      <c r="B24" s="881" t="s">
        <v>282</v>
      </c>
      <c r="C24" s="881"/>
      <c r="D24" s="881"/>
      <c r="E24" s="881"/>
      <c r="F24" s="882" t="s">
        <v>733</v>
      </c>
      <c r="G24" s="882"/>
      <c r="H24" s="882"/>
      <c r="I24" s="882"/>
      <c r="J24" s="882"/>
      <c r="K24" s="882"/>
      <c r="L24" s="882"/>
      <c r="M24" s="882"/>
      <c r="N24" s="882"/>
      <c r="O24" s="882"/>
      <c r="P24" s="883"/>
      <c r="Q24" s="883"/>
      <c r="R24" s="883"/>
      <c r="S24" s="883"/>
      <c r="T24" s="883"/>
      <c r="U24" s="883"/>
      <c r="V24" s="883"/>
      <c r="W24" s="883"/>
      <c r="X24" s="883"/>
      <c r="Y24" s="883"/>
      <c r="Z24" s="883"/>
      <c r="AA24" s="883"/>
      <c r="AB24" s="883"/>
      <c r="AC24" s="883"/>
      <c r="AD24" s="884" t="s">
        <v>202</v>
      </c>
      <c r="AE24" s="884"/>
      <c r="AF24" s="884"/>
      <c r="AG24" s="885">
        <v>2</v>
      </c>
      <c r="AH24" s="885"/>
      <c r="AI24" s="885"/>
      <c r="AJ24" s="885"/>
      <c r="AK24" s="885"/>
      <c r="AL24" s="885"/>
      <c r="AM24" s="885">
        <v>3200</v>
      </c>
      <c r="AN24" s="885"/>
      <c r="AO24" s="885"/>
      <c r="AP24" s="885"/>
      <c r="AQ24" s="885"/>
      <c r="AR24" s="885"/>
      <c r="AS24" s="886">
        <f t="shared" ref="AS24:AS28" si="10">IF(AM24="","",AG24*AM24)</f>
        <v>6400</v>
      </c>
      <c r="AT24" s="886"/>
      <c r="AU24" s="886"/>
      <c r="AV24" s="886"/>
      <c r="AW24" s="886"/>
      <c r="AX24" s="886"/>
      <c r="AY24" s="886">
        <f t="shared" ref="AY24:AY28" si="11">IF(AM24="","",ROUNDDOWN(AG24*AM24*1.1,0))</f>
        <v>7040</v>
      </c>
      <c r="AZ24" s="886"/>
      <c r="BA24" s="886"/>
      <c r="BB24" s="886"/>
      <c r="BC24" s="886"/>
      <c r="BD24" s="886"/>
      <c r="BE24" s="878" t="str">
        <f t="shared" ref="BE24:BE28" si="12">IF(AS24="","",IF(AS24&gt;=300000,"必要",""))</f>
        <v/>
      </c>
      <c r="BF24" s="878"/>
      <c r="BG24" s="878"/>
      <c r="BH24" s="878" t="str">
        <f t="shared" ref="BH24:BH28" si="13">IF(AS24="","",IF(AS24&gt;=1000000,"必要",""))</f>
        <v/>
      </c>
      <c r="BI24" s="878"/>
      <c r="BJ24" s="878"/>
      <c r="BK24" s="879" t="str">
        <f t="shared" ref="BK24:BK28" si="14">IF(AM24="","",IF(AM24&lt;100000,"×","〇"))</f>
        <v>×</v>
      </c>
      <c r="BL24" s="879"/>
      <c r="BM24" s="879"/>
    </row>
    <row r="25" spans="2:65" ht="32.25" customHeight="1">
      <c r="B25" s="880" t="s">
        <v>721</v>
      </c>
      <c r="C25" s="881"/>
      <c r="D25" s="881"/>
      <c r="E25" s="881"/>
      <c r="F25" s="882" t="s">
        <v>734</v>
      </c>
      <c r="G25" s="882"/>
      <c r="H25" s="882"/>
      <c r="I25" s="882"/>
      <c r="J25" s="882"/>
      <c r="K25" s="882"/>
      <c r="L25" s="882"/>
      <c r="M25" s="882"/>
      <c r="N25" s="882"/>
      <c r="O25" s="882"/>
      <c r="P25" s="883"/>
      <c r="Q25" s="883"/>
      <c r="R25" s="883"/>
      <c r="S25" s="883"/>
      <c r="T25" s="883"/>
      <c r="U25" s="883"/>
      <c r="V25" s="883"/>
      <c r="W25" s="883"/>
      <c r="X25" s="883"/>
      <c r="Y25" s="883"/>
      <c r="Z25" s="883"/>
      <c r="AA25" s="883"/>
      <c r="AB25" s="883"/>
      <c r="AC25" s="883"/>
      <c r="AD25" s="884" t="s">
        <v>202</v>
      </c>
      <c r="AE25" s="884"/>
      <c r="AF25" s="884"/>
      <c r="AG25" s="885">
        <v>2</v>
      </c>
      <c r="AH25" s="885"/>
      <c r="AI25" s="885"/>
      <c r="AJ25" s="885"/>
      <c r="AK25" s="885"/>
      <c r="AL25" s="885"/>
      <c r="AM25" s="885">
        <v>2600</v>
      </c>
      <c r="AN25" s="885"/>
      <c r="AO25" s="885"/>
      <c r="AP25" s="885"/>
      <c r="AQ25" s="885"/>
      <c r="AR25" s="885"/>
      <c r="AS25" s="886">
        <f t="shared" si="10"/>
        <v>5200</v>
      </c>
      <c r="AT25" s="886"/>
      <c r="AU25" s="886"/>
      <c r="AV25" s="886"/>
      <c r="AW25" s="886"/>
      <c r="AX25" s="886"/>
      <c r="AY25" s="886">
        <f t="shared" si="11"/>
        <v>5720</v>
      </c>
      <c r="AZ25" s="886"/>
      <c r="BA25" s="886"/>
      <c r="BB25" s="886"/>
      <c r="BC25" s="886"/>
      <c r="BD25" s="886"/>
      <c r="BE25" s="878" t="str">
        <f t="shared" si="12"/>
        <v/>
      </c>
      <c r="BF25" s="878"/>
      <c r="BG25" s="878"/>
      <c r="BH25" s="878" t="str">
        <f t="shared" si="13"/>
        <v/>
      </c>
      <c r="BI25" s="878"/>
      <c r="BJ25" s="878"/>
      <c r="BK25" s="879" t="str">
        <f t="shared" si="14"/>
        <v>×</v>
      </c>
      <c r="BL25" s="879"/>
      <c r="BM25" s="879"/>
    </row>
    <row r="26" spans="2:65" ht="32.25" customHeight="1">
      <c r="B26" s="880" t="s">
        <v>722</v>
      </c>
      <c r="C26" s="881"/>
      <c r="D26" s="881"/>
      <c r="E26" s="881"/>
      <c r="F26" s="882" t="s">
        <v>735</v>
      </c>
      <c r="G26" s="882"/>
      <c r="H26" s="882"/>
      <c r="I26" s="882"/>
      <c r="J26" s="882"/>
      <c r="K26" s="882"/>
      <c r="L26" s="882"/>
      <c r="M26" s="882"/>
      <c r="N26" s="882"/>
      <c r="O26" s="882"/>
      <c r="P26" s="883"/>
      <c r="Q26" s="883"/>
      <c r="R26" s="883"/>
      <c r="S26" s="883"/>
      <c r="T26" s="883"/>
      <c r="U26" s="883"/>
      <c r="V26" s="883"/>
      <c r="W26" s="883"/>
      <c r="X26" s="883"/>
      <c r="Y26" s="883"/>
      <c r="Z26" s="883"/>
      <c r="AA26" s="883"/>
      <c r="AB26" s="883"/>
      <c r="AC26" s="883"/>
      <c r="AD26" s="884" t="s">
        <v>202</v>
      </c>
      <c r="AE26" s="884"/>
      <c r="AF26" s="884"/>
      <c r="AG26" s="885">
        <v>2</v>
      </c>
      <c r="AH26" s="885"/>
      <c r="AI26" s="885"/>
      <c r="AJ26" s="885"/>
      <c r="AK26" s="885"/>
      <c r="AL26" s="885"/>
      <c r="AM26" s="885">
        <v>1760</v>
      </c>
      <c r="AN26" s="885"/>
      <c r="AO26" s="885"/>
      <c r="AP26" s="885"/>
      <c r="AQ26" s="885"/>
      <c r="AR26" s="885"/>
      <c r="AS26" s="886">
        <f t="shared" si="10"/>
        <v>3520</v>
      </c>
      <c r="AT26" s="886"/>
      <c r="AU26" s="886"/>
      <c r="AV26" s="886"/>
      <c r="AW26" s="886"/>
      <c r="AX26" s="886"/>
      <c r="AY26" s="886">
        <f t="shared" si="11"/>
        <v>3872</v>
      </c>
      <c r="AZ26" s="886"/>
      <c r="BA26" s="886"/>
      <c r="BB26" s="886"/>
      <c r="BC26" s="886"/>
      <c r="BD26" s="886"/>
      <c r="BE26" s="878" t="str">
        <f t="shared" si="12"/>
        <v/>
      </c>
      <c r="BF26" s="878"/>
      <c r="BG26" s="878"/>
      <c r="BH26" s="878" t="str">
        <f t="shared" si="13"/>
        <v/>
      </c>
      <c r="BI26" s="878"/>
      <c r="BJ26" s="878"/>
      <c r="BK26" s="879" t="str">
        <f t="shared" si="14"/>
        <v>×</v>
      </c>
      <c r="BL26" s="879"/>
      <c r="BM26" s="879"/>
    </row>
    <row r="27" spans="2:65" ht="32.25" customHeight="1">
      <c r="B27" s="880" t="s">
        <v>723</v>
      </c>
      <c r="C27" s="881"/>
      <c r="D27" s="881"/>
      <c r="E27" s="881"/>
      <c r="F27" s="882" t="s">
        <v>736</v>
      </c>
      <c r="G27" s="882"/>
      <c r="H27" s="882"/>
      <c r="I27" s="882"/>
      <c r="J27" s="882"/>
      <c r="K27" s="882"/>
      <c r="L27" s="882"/>
      <c r="M27" s="882"/>
      <c r="N27" s="882"/>
      <c r="O27" s="882"/>
      <c r="P27" s="883"/>
      <c r="Q27" s="883"/>
      <c r="R27" s="883"/>
      <c r="S27" s="883"/>
      <c r="T27" s="883"/>
      <c r="U27" s="883"/>
      <c r="V27" s="883"/>
      <c r="W27" s="883"/>
      <c r="X27" s="883"/>
      <c r="Y27" s="883"/>
      <c r="Z27" s="883"/>
      <c r="AA27" s="883"/>
      <c r="AB27" s="883"/>
      <c r="AC27" s="883"/>
      <c r="AD27" s="884" t="s">
        <v>202</v>
      </c>
      <c r="AE27" s="884"/>
      <c r="AF27" s="884"/>
      <c r="AG27" s="885">
        <v>2</v>
      </c>
      <c r="AH27" s="885"/>
      <c r="AI27" s="885"/>
      <c r="AJ27" s="885"/>
      <c r="AK27" s="885"/>
      <c r="AL27" s="885"/>
      <c r="AM27" s="885">
        <v>23200</v>
      </c>
      <c r="AN27" s="885"/>
      <c r="AO27" s="885"/>
      <c r="AP27" s="885"/>
      <c r="AQ27" s="885"/>
      <c r="AR27" s="885"/>
      <c r="AS27" s="886">
        <f t="shared" si="10"/>
        <v>46400</v>
      </c>
      <c r="AT27" s="886"/>
      <c r="AU27" s="886"/>
      <c r="AV27" s="886"/>
      <c r="AW27" s="886"/>
      <c r="AX27" s="886"/>
      <c r="AY27" s="886">
        <f t="shared" si="11"/>
        <v>51040</v>
      </c>
      <c r="AZ27" s="886"/>
      <c r="BA27" s="886"/>
      <c r="BB27" s="886"/>
      <c r="BC27" s="886"/>
      <c r="BD27" s="886"/>
      <c r="BE27" s="878" t="str">
        <f t="shared" si="12"/>
        <v/>
      </c>
      <c r="BF27" s="878"/>
      <c r="BG27" s="878"/>
      <c r="BH27" s="878" t="str">
        <f t="shared" si="13"/>
        <v/>
      </c>
      <c r="BI27" s="878"/>
      <c r="BJ27" s="878"/>
      <c r="BK27" s="879" t="str">
        <f t="shared" si="14"/>
        <v>×</v>
      </c>
      <c r="BL27" s="879"/>
      <c r="BM27" s="879"/>
    </row>
    <row r="28" spans="2:65" ht="32.25" customHeight="1">
      <c r="B28" s="880" t="s">
        <v>724</v>
      </c>
      <c r="C28" s="881"/>
      <c r="D28" s="881"/>
      <c r="E28" s="881"/>
      <c r="F28" s="882" t="s">
        <v>740</v>
      </c>
      <c r="G28" s="882"/>
      <c r="H28" s="882"/>
      <c r="I28" s="882"/>
      <c r="J28" s="882"/>
      <c r="K28" s="882"/>
      <c r="L28" s="882"/>
      <c r="M28" s="882"/>
      <c r="N28" s="882"/>
      <c r="O28" s="882"/>
      <c r="P28" s="883"/>
      <c r="Q28" s="883"/>
      <c r="R28" s="883"/>
      <c r="S28" s="883"/>
      <c r="T28" s="883"/>
      <c r="U28" s="883"/>
      <c r="V28" s="883"/>
      <c r="W28" s="883"/>
      <c r="X28" s="883"/>
      <c r="Y28" s="883"/>
      <c r="Z28" s="883"/>
      <c r="AA28" s="883"/>
      <c r="AB28" s="883"/>
      <c r="AC28" s="883"/>
      <c r="AD28" s="884" t="s">
        <v>202</v>
      </c>
      <c r="AE28" s="884"/>
      <c r="AF28" s="884"/>
      <c r="AG28" s="885">
        <v>2</v>
      </c>
      <c r="AH28" s="885"/>
      <c r="AI28" s="885"/>
      <c r="AJ28" s="885"/>
      <c r="AK28" s="885"/>
      <c r="AL28" s="885"/>
      <c r="AM28" s="885">
        <v>1800</v>
      </c>
      <c r="AN28" s="885"/>
      <c r="AO28" s="885"/>
      <c r="AP28" s="885"/>
      <c r="AQ28" s="885"/>
      <c r="AR28" s="885"/>
      <c r="AS28" s="886">
        <f t="shared" si="10"/>
        <v>3600</v>
      </c>
      <c r="AT28" s="886"/>
      <c r="AU28" s="886"/>
      <c r="AV28" s="886"/>
      <c r="AW28" s="886"/>
      <c r="AX28" s="886"/>
      <c r="AY28" s="886">
        <f t="shared" si="11"/>
        <v>3960</v>
      </c>
      <c r="AZ28" s="886"/>
      <c r="BA28" s="886"/>
      <c r="BB28" s="886"/>
      <c r="BC28" s="886"/>
      <c r="BD28" s="886"/>
      <c r="BE28" s="878" t="str">
        <f t="shared" si="12"/>
        <v/>
      </c>
      <c r="BF28" s="878"/>
      <c r="BG28" s="878"/>
      <c r="BH28" s="878" t="str">
        <f t="shared" si="13"/>
        <v/>
      </c>
      <c r="BI28" s="878"/>
      <c r="BJ28" s="878"/>
      <c r="BK28" s="879" t="str">
        <f t="shared" si="14"/>
        <v>×</v>
      </c>
      <c r="BL28" s="879"/>
      <c r="BM28" s="879"/>
    </row>
    <row r="29" spans="2:65" ht="32.25" customHeight="1">
      <c r="B29" s="880" t="s">
        <v>728</v>
      </c>
      <c r="C29" s="881"/>
      <c r="D29" s="881"/>
      <c r="E29" s="881"/>
      <c r="F29" s="882" t="s">
        <v>741</v>
      </c>
      <c r="G29" s="882"/>
      <c r="H29" s="882"/>
      <c r="I29" s="882"/>
      <c r="J29" s="882"/>
      <c r="K29" s="882"/>
      <c r="L29" s="882"/>
      <c r="M29" s="882"/>
      <c r="N29" s="882"/>
      <c r="O29" s="882"/>
      <c r="P29" s="883"/>
      <c r="Q29" s="883"/>
      <c r="R29" s="883"/>
      <c r="S29" s="883"/>
      <c r="T29" s="883"/>
      <c r="U29" s="883"/>
      <c r="V29" s="883"/>
      <c r="W29" s="883"/>
      <c r="X29" s="883"/>
      <c r="Y29" s="883"/>
      <c r="Z29" s="883"/>
      <c r="AA29" s="883"/>
      <c r="AB29" s="883"/>
      <c r="AC29" s="883"/>
      <c r="AD29" s="884" t="s">
        <v>202</v>
      </c>
      <c r="AE29" s="884"/>
      <c r="AF29" s="884"/>
      <c r="AG29" s="885">
        <v>5</v>
      </c>
      <c r="AH29" s="885"/>
      <c r="AI29" s="885"/>
      <c r="AJ29" s="885"/>
      <c r="AK29" s="885"/>
      <c r="AL29" s="885"/>
      <c r="AM29" s="885">
        <v>2880</v>
      </c>
      <c r="AN29" s="885"/>
      <c r="AO29" s="885"/>
      <c r="AP29" s="885"/>
      <c r="AQ29" s="885"/>
      <c r="AR29" s="885"/>
      <c r="AS29" s="886">
        <f t="shared" si="5"/>
        <v>14400</v>
      </c>
      <c r="AT29" s="886"/>
      <c r="AU29" s="886"/>
      <c r="AV29" s="886"/>
      <c r="AW29" s="886"/>
      <c r="AX29" s="886"/>
      <c r="AY29" s="886">
        <f t="shared" si="6"/>
        <v>15840</v>
      </c>
      <c r="AZ29" s="886"/>
      <c r="BA29" s="886"/>
      <c r="BB29" s="886"/>
      <c r="BC29" s="886"/>
      <c r="BD29" s="886"/>
      <c r="BE29" s="878" t="str">
        <f t="shared" si="7"/>
        <v/>
      </c>
      <c r="BF29" s="878"/>
      <c r="BG29" s="878"/>
      <c r="BH29" s="878" t="str">
        <f t="shared" si="8"/>
        <v/>
      </c>
      <c r="BI29" s="878"/>
      <c r="BJ29" s="878"/>
      <c r="BK29" s="879" t="str">
        <f t="shared" si="9"/>
        <v>×</v>
      </c>
      <c r="BL29" s="879"/>
      <c r="BM29" s="879"/>
    </row>
    <row r="30" spans="2:65" ht="32.25" customHeight="1">
      <c r="B30" s="880" t="s">
        <v>729</v>
      </c>
      <c r="C30" s="881"/>
      <c r="D30" s="881"/>
      <c r="E30" s="881"/>
      <c r="F30" s="882" t="s">
        <v>742</v>
      </c>
      <c r="G30" s="882"/>
      <c r="H30" s="882"/>
      <c r="I30" s="882"/>
      <c r="J30" s="882"/>
      <c r="K30" s="882"/>
      <c r="L30" s="882"/>
      <c r="M30" s="882"/>
      <c r="N30" s="882"/>
      <c r="O30" s="882"/>
      <c r="P30" s="883"/>
      <c r="Q30" s="883"/>
      <c r="R30" s="883"/>
      <c r="S30" s="883"/>
      <c r="T30" s="883"/>
      <c r="U30" s="883"/>
      <c r="V30" s="883"/>
      <c r="W30" s="883"/>
      <c r="X30" s="883"/>
      <c r="Y30" s="883"/>
      <c r="Z30" s="883"/>
      <c r="AA30" s="883"/>
      <c r="AB30" s="883"/>
      <c r="AC30" s="883"/>
      <c r="AD30" s="884" t="s">
        <v>202</v>
      </c>
      <c r="AE30" s="884"/>
      <c r="AF30" s="884"/>
      <c r="AG30" s="885">
        <v>2</v>
      </c>
      <c r="AH30" s="885"/>
      <c r="AI30" s="885"/>
      <c r="AJ30" s="885"/>
      <c r="AK30" s="885"/>
      <c r="AL30" s="885"/>
      <c r="AM30" s="885">
        <v>1800</v>
      </c>
      <c r="AN30" s="885"/>
      <c r="AO30" s="885"/>
      <c r="AP30" s="885"/>
      <c r="AQ30" s="885"/>
      <c r="AR30" s="885"/>
      <c r="AS30" s="886">
        <f t="shared" si="0"/>
        <v>3600</v>
      </c>
      <c r="AT30" s="886"/>
      <c r="AU30" s="886"/>
      <c r="AV30" s="886"/>
      <c r="AW30" s="886"/>
      <c r="AX30" s="886"/>
      <c r="AY30" s="886">
        <f t="shared" si="1"/>
        <v>3960</v>
      </c>
      <c r="AZ30" s="886"/>
      <c r="BA30" s="886"/>
      <c r="BB30" s="886"/>
      <c r="BC30" s="886"/>
      <c r="BD30" s="886"/>
      <c r="BE30" s="878" t="str">
        <f t="shared" si="2"/>
        <v/>
      </c>
      <c r="BF30" s="878"/>
      <c r="BG30" s="878"/>
      <c r="BH30" s="878" t="str">
        <f t="shared" si="3"/>
        <v/>
      </c>
      <c r="BI30" s="878"/>
      <c r="BJ30" s="878"/>
      <c r="BK30" s="879" t="str">
        <f t="shared" si="4"/>
        <v>×</v>
      </c>
      <c r="BL30" s="879"/>
      <c r="BM30" s="879"/>
    </row>
    <row r="31" spans="2:65" ht="32.25" customHeight="1">
      <c r="B31" s="880" t="s">
        <v>730</v>
      </c>
      <c r="C31" s="881"/>
      <c r="D31" s="881"/>
      <c r="E31" s="881"/>
      <c r="F31" s="882" t="s">
        <v>743</v>
      </c>
      <c r="G31" s="882"/>
      <c r="H31" s="882"/>
      <c r="I31" s="882"/>
      <c r="J31" s="882"/>
      <c r="K31" s="882"/>
      <c r="L31" s="882"/>
      <c r="M31" s="882"/>
      <c r="N31" s="882"/>
      <c r="O31" s="882"/>
      <c r="P31" s="883"/>
      <c r="Q31" s="883"/>
      <c r="R31" s="883"/>
      <c r="S31" s="883"/>
      <c r="T31" s="883"/>
      <c r="U31" s="883"/>
      <c r="V31" s="883"/>
      <c r="W31" s="883"/>
      <c r="X31" s="883"/>
      <c r="Y31" s="883"/>
      <c r="Z31" s="883"/>
      <c r="AA31" s="883"/>
      <c r="AB31" s="883"/>
      <c r="AC31" s="883"/>
      <c r="AD31" s="884" t="s">
        <v>202</v>
      </c>
      <c r="AE31" s="884"/>
      <c r="AF31" s="884"/>
      <c r="AG31" s="885">
        <v>5</v>
      </c>
      <c r="AH31" s="885"/>
      <c r="AI31" s="885"/>
      <c r="AJ31" s="885"/>
      <c r="AK31" s="885"/>
      <c r="AL31" s="885"/>
      <c r="AM31" s="885">
        <v>3300</v>
      </c>
      <c r="AN31" s="885"/>
      <c r="AO31" s="885"/>
      <c r="AP31" s="885"/>
      <c r="AQ31" s="885"/>
      <c r="AR31" s="885"/>
      <c r="AS31" s="886">
        <f t="shared" ref="AS31:AS34" si="15">IF(AM31="","",AG31*AM31)</f>
        <v>16500</v>
      </c>
      <c r="AT31" s="886"/>
      <c r="AU31" s="886"/>
      <c r="AV31" s="886"/>
      <c r="AW31" s="886"/>
      <c r="AX31" s="886"/>
      <c r="AY31" s="886">
        <f t="shared" ref="AY31:AY34" si="16">IF(AM31="","",ROUNDDOWN(AG31*AM31*1.1,0))</f>
        <v>18150</v>
      </c>
      <c r="AZ31" s="886"/>
      <c r="BA31" s="886"/>
      <c r="BB31" s="886"/>
      <c r="BC31" s="886"/>
      <c r="BD31" s="886"/>
      <c r="BE31" s="878" t="str">
        <f t="shared" ref="BE31:BE34" si="17">IF(AS31="","",IF(AS31&gt;=300000,"必要",""))</f>
        <v/>
      </c>
      <c r="BF31" s="878"/>
      <c r="BG31" s="878"/>
      <c r="BH31" s="878" t="str">
        <f t="shared" ref="BH31:BH34" si="18">IF(AS31="","",IF(AS31&gt;=1000000,"必要",""))</f>
        <v/>
      </c>
      <c r="BI31" s="878"/>
      <c r="BJ31" s="878"/>
      <c r="BK31" s="879" t="str">
        <f t="shared" ref="BK31:BK34" si="19">IF(AM31="","",IF(AM31&lt;100000,"×","〇"))</f>
        <v>×</v>
      </c>
      <c r="BL31" s="879"/>
      <c r="BM31" s="879"/>
    </row>
    <row r="32" spans="2:65" ht="32.25" customHeight="1">
      <c r="B32" s="880" t="s">
        <v>730</v>
      </c>
      <c r="C32" s="881"/>
      <c r="D32" s="881"/>
      <c r="E32" s="881"/>
      <c r="F32" s="882" t="s">
        <v>744</v>
      </c>
      <c r="G32" s="882"/>
      <c r="H32" s="882"/>
      <c r="I32" s="882"/>
      <c r="J32" s="882"/>
      <c r="K32" s="882"/>
      <c r="L32" s="882"/>
      <c r="M32" s="882"/>
      <c r="N32" s="882"/>
      <c r="O32" s="882"/>
      <c r="P32" s="883"/>
      <c r="Q32" s="883"/>
      <c r="R32" s="883"/>
      <c r="S32" s="883"/>
      <c r="T32" s="883"/>
      <c r="U32" s="883"/>
      <c r="V32" s="883"/>
      <c r="W32" s="883"/>
      <c r="X32" s="883"/>
      <c r="Y32" s="883"/>
      <c r="Z32" s="883"/>
      <c r="AA32" s="883"/>
      <c r="AB32" s="883"/>
      <c r="AC32" s="883"/>
      <c r="AD32" s="884" t="s">
        <v>202</v>
      </c>
      <c r="AE32" s="884"/>
      <c r="AF32" s="884"/>
      <c r="AG32" s="885">
        <v>2</v>
      </c>
      <c r="AH32" s="885"/>
      <c r="AI32" s="885"/>
      <c r="AJ32" s="885"/>
      <c r="AK32" s="885"/>
      <c r="AL32" s="885"/>
      <c r="AM32" s="885">
        <v>3170</v>
      </c>
      <c r="AN32" s="885"/>
      <c r="AO32" s="885"/>
      <c r="AP32" s="885"/>
      <c r="AQ32" s="885"/>
      <c r="AR32" s="885"/>
      <c r="AS32" s="886">
        <f t="shared" si="15"/>
        <v>6340</v>
      </c>
      <c r="AT32" s="886"/>
      <c r="AU32" s="886"/>
      <c r="AV32" s="886"/>
      <c r="AW32" s="886"/>
      <c r="AX32" s="886"/>
      <c r="AY32" s="886">
        <f t="shared" si="16"/>
        <v>6974</v>
      </c>
      <c r="AZ32" s="886"/>
      <c r="BA32" s="886"/>
      <c r="BB32" s="886"/>
      <c r="BC32" s="886"/>
      <c r="BD32" s="886"/>
      <c r="BE32" s="878" t="str">
        <f t="shared" si="17"/>
        <v/>
      </c>
      <c r="BF32" s="878"/>
      <c r="BG32" s="878"/>
      <c r="BH32" s="878" t="str">
        <f t="shared" si="18"/>
        <v/>
      </c>
      <c r="BI32" s="878"/>
      <c r="BJ32" s="878"/>
      <c r="BK32" s="879" t="str">
        <f t="shared" si="19"/>
        <v>×</v>
      </c>
      <c r="BL32" s="879"/>
      <c r="BM32" s="879"/>
    </row>
    <row r="33" spans="2:65" ht="32.25" customHeight="1">
      <c r="B33" s="880" t="s">
        <v>730</v>
      </c>
      <c r="C33" s="881"/>
      <c r="D33" s="881"/>
      <c r="E33" s="881"/>
      <c r="F33" s="882" t="s">
        <v>745</v>
      </c>
      <c r="G33" s="882"/>
      <c r="H33" s="882"/>
      <c r="I33" s="882"/>
      <c r="J33" s="882"/>
      <c r="K33" s="882"/>
      <c r="L33" s="882"/>
      <c r="M33" s="882"/>
      <c r="N33" s="882"/>
      <c r="O33" s="882"/>
      <c r="P33" s="883"/>
      <c r="Q33" s="883"/>
      <c r="R33" s="883"/>
      <c r="S33" s="883"/>
      <c r="T33" s="883"/>
      <c r="U33" s="883"/>
      <c r="V33" s="883"/>
      <c r="W33" s="883"/>
      <c r="X33" s="883"/>
      <c r="Y33" s="883"/>
      <c r="Z33" s="883"/>
      <c r="AA33" s="883"/>
      <c r="AB33" s="883"/>
      <c r="AC33" s="883"/>
      <c r="AD33" s="884" t="s">
        <v>202</v>
      </c>
      <c r="AE33" s="884"/>
      <c r="AF33" s="884"/>
      <c r="AG33" s="885">
        <v>2</v>
      </c>
      <c r="AH33" s="885"/>
      <c r="AI33" s="885"/>
      <c r="AJ33" s="885"/>
      <c r="AK33" s="885"/>
      <c r="AL33" s="885"/>
      <c r="AM33" s="885">
        <v>6340</v>
      </c>
      <c r="AN33" s="885"/>
      <c r="AO33" s="885"/>
      <c r="AP33" s="885"/>
      <c r="AQ33" s="885"/>
      <c r="AR33" s="885"/>
      <c r="AS33" s="886">
        <f t="shared" si="15"/>
        <v>12680</v>
      </c>
      <c r="AT33" s="886"/>
      <c r="AU33" s="886"/>
      <c r="AV33" s="886"/>
      <c r="AW33" s="886"/>
      <c r="AX33" s="886"/>
      <c r="AY33" s="886">
        <f t="shared" si="16"/>
        <v>13948</v>
      </c>
      <c r="AZ33" s="886"/>
      <c r="BA33" s="886"/>
      <c r="BB33" s="886"/>
      <c r="BC33" s="886"/>
      <c r="BD33" s="886"/>
      <c r="BE33" s="878" t="str">
        <f t="shared" si="17"/>
        <v/>
      </c>
      <c r="BF33" s="878"/>
      <c r="BG33" s="878"/>
      <c r="BH33" s="878" t="str">
        <f t="shared" si="18"/>
        <v/>
      </c>
      <c r="BI33" s="878"/>
      <c r="BJ33" s="878"/>
      <c r="BK33" s="879" t="str">
        <f t="shared" si="19"/>
        <v>×</v>
      </c>
      <c r="BL33" s="879"/>
      <c r="BM33" s="879"/>
    </row>
    <row r="34" spans="2:65" ht="32.25" customHeight="1">
      <c r="B34" s="880" t="s">
        <v>730</v>
      </c>
      <c r="C34" s="881"/>
      <c r="D34" s="881"/>
      <c r="E34" s="881"/>
      <c r="F34" s="882" t="s">
        <v>746</v>
      </c>
      <c r="G34" s="882"/>
      <c r="H34" s="882"/>
      <c r="I34" s="882"/>
      <c r="J34" s="882"/>
      <c r="K34" s="882"/>
      <c r="L34" s="882"/>
      <c r="M34" s="882"/>
      <c r="N34" s="882"/>
      <c r="O34" s="882"/>
      <c r="P34" s="883"/>
      <c r="Q34" s="883"/>
      <c r="R34" s="883"/>
      <c r="S34" s="883"/>
      <c r="T34" s="883"/>
      <c r="U34" s="883"/>
      <c r="V34" s="883"/>
      <c r="W34" s="883"/>
      <c r="X34" s="883"/>
      <c r="Y34" s="883"/>
      <c r="Z34" s="883"/>
      <c r="AA34" s="883"/>
      <c r="AB34" s="883"/>
      <c r="AC34" s="883"/>
      <c r="AD34" s="884" t="s">
        <v>202</v>
      </c>
      <c r="AE34" s="884"/>
      <c r="AF34" s="884"/>
      <c r="AG34" s="885">
        <v>5</v>
      </c>
      <c r="AH34" s="885"/>
      <c r="AI34" s="885"/>
      <c r="AJ34" s="885"/>
      <c r="AK34" s="885"/>
      <c r="AL34" s="885"/>
      <c r="AM34" s="885">
        <v>2560</v>
      </c>
      <c r="AN34" s="885"/>
      <c r="AO34" s="885"/>
      <c r="AP34" s="885"/>
      <c r="AQ34" s="885"/>
      <c r="AR34" s="885"/>
      <c r="AS34" s="886">
        <f t="shared" si="15"/>
        <v>12800</v>
      </c>
      <c r="AT34" s="886"/>
      <c r="AU34" s="886"/>
      <c r="AV34" s="886"/>
      <c r="AW34" s="886"/>
      <c r="AX34" s="886"/>
      <c r="AY34" s="886">
        <f t="shared" si="16"/>
        <v>14080</v>
      </c>
      <c r="AZ34" s="886"/>
      <c r="BA34" s="886"/>
      <c r="BB34" s="886"/>
      <c r="BC34" s="886"/>
      <c r="BD34" s="886"/>
      <c r="BE34" s="878" t="str">
        <f t="shared" si="17"/>
        <v/>
      </c>
      <c r="BF34" s="878"/>
      <c r="BG34" s="878"/>
      <c r="BH34" s="878" t="str">
        <f t="shared" si="18"/>
        <v/>
      </c>
      <c r="BI34" s="878"/>
      <c r="BJ34" s="878"/>
      <c r="BK34" s="879" t="str">
        <f t="shared" si="19"/>
        <v>×</v>
      </c>
      <c r="BL34" s="879"/>
      <c r="BM34" s="879"/>
    </row>
    <row r="35" spans="2:65" ht="32.25" customHeight="1">
      <c r="B35" s="880" t="s">
        <v>730</v>
      </c>
      <c r="C35" s="881"/>
      <c r="D35" s="881"/>
      <c r="E35" s="881"/>
      <c r="F35" s="882" t="s">
        <v>747</v>
      </c>
      <c r="G35" s="882"/>
      <c r="H35" s="882"/>
      <c r="I35" s="882"/>
      <c r="J35" s="882"/>
      <c r="K35" s="882"/>
      <c r="L35" s="882"/>
      <c r="M35" s="882"/>
      <c r="N35" s="882"/>
      <c r="O35" s="882"/>
      <c r="P35" s="883"/>
      <c r="Q35" s="883"/>
      <c r="R35" s="883"/>
      <c r="S35" s="883"/>
      <c r="T35" s="883"/>
      <c r="U35" s="883"/>
      <c r="V35" s="883"/>
      <c r="W35" s="883"/>
      <c r="X35" s="883"/>
      <c r="Y35" s="883"/>
      <c r="Z35" s="883"/>
      <c r="AA35" s="883"/>
      <c r="AB35" s="883"/>
      <c r="AC35" s="883"/>
      <c r="AD35" s="884" t="s">
        <v>202</v>
      </c>
      <c r="AE35" s="884"/>
      <c r="AF35" s="884"/>
      <c r="AG35" s="885">
        <v>1</v>
      </c>
      <c r="AH35" s="885"/>
      <c r="AI35" s="885"/>
      <c r="AJ35" s="885"/>
      <c r="AK35" s="885"/>
      <c r="AL35" s="885"/>
      <c r="AM35" s="885">
        <v>6200</v>
      </c>
      <c r="AN35" s="885"/>
      <c r="AO35" s="885"/>
      <c r="AP35" s="885"/>
      <c r="AQ35" s="885"/>
      <c r="AR35" s="885"/>
      <c r="AS35" s="886">
        <f t="shared" si="0"/>
        <v>6200</v>
      </c>
      <c r="AT35" s="886"/>
      <c r="AU35" s="886"/>
      <c r="AV35" s="886"/>
      <c r="AW35" s="886"/>
      <c r="AX35" s="886"/>
      <c r="AY35" s="886">
        <f t="shared" si="1"/>
        <v>6820</v>
      </c>
      <c r="AZ35" s="886"/>
      <c r="BA35" s="886"/>
      <c r="BB35" s="886"/>
      <c r="BC35" s="886"/>
      <c r="BD35" s="886"/>
      <c r="BE35" s="878" t="str">
        <f t="shared" si="2"/>
        <v/>
      </c>
      <c r="BF35" s="878"/>
      <c r="BG35" s="878"/>
      <c r="BH35" s="878" t="str">
        <f t="shared" si="3"/>
        <v/>
      </c>
      <c r="BI35" s="878"/>
      <c r="BJ35" s="878"/>
      <c r="BK35" s="879" t="str">
        <f t="shared" si="4"/>
        <v>×</v>
      </c>
      <c r="BL35" s="879"/>
      <c r="BM35" s="879"/>
    </row>
    <row r="36" spans="2:65" ht="32.25" customHeight="1">
      <c r="B36" s="860" t="s">
        <v>730</v>
      </c>
      <c r="C36" s="861"/>
      <c r="D36" s="861"/>
      <c r="E36" s="862"/>
      <c r="F36" s="863" t="s">
        <v>778</v>
      </c>
      <c r="G36" s="864"/>
      <c r="H36" s="864"/>
      <c r="I36" s="864"/>
      <c r="J36" s="864"/>
      <c r="K36" s="864"/>
      <c r="L36" s="864"/>
      <c r="M36" s="864"/>
      <c r="N36" s="864"/>
      <c r="O36" s="865"/>
      <c r="P36" s="866"/>
      <c r="Q36" s="867"/>
      <c r="R36" s="867"/>
      <c r="S36" s="867"/>
      <c r="T36" s="867"/>
      <c r="U36" s="867"/>
      <c r="V36" s="867"/>
      <c r="W36" s="867"/>
      <c r="X36" s="867"/>
      <c r="Y36" s="867"/>
      <c r="Z36" s="867"/>
      <c r="AA36" s="867"/>
      <c r="AB36" s="867"/>
      <c r="AC36" s="868"/>
      <c r="AD36" s="869" t="s">
        <v>202</v>
      </c>
      <c r="AE36" s="870"/>
      <c r="AF36" s="871"/>
      <c r="AG36" s="872">
        <v>1</v>
      </c>
      <c r="AH36" s="873"/>
      <c r="AI36" s="873"/>
      <c r="AJ36" s="873"/>
      <c r="AK36" s="873"/>
      <c r="AL36" s="874"/>
      <c r="AM36" s="872">
        <v>5000</v>
      </c>
      <c r="AN36" s="873"/>
      <c r="AO36" s="873"/>
      <c r="AP36" s="873"/>
      <c r="AQ36" s="873"/>
      <c r="AR36" s="874"/>
      <c r="AS36" s="875">
        <f t="shared" si="0"/>
        <v>5000</v>
      </c>
      <c r="AT36" s="876"/>
      <c r="AU36" s="876"/>
      <c r="AV36" s="876"/>
      <c r="AW36" s="876"/>
      <c r="AX36" s="877"/>
      <c r="AY36" s="875">
        <f t="shared" si="1"/>
        <v>5500</v>
      </c>
      <c r="AZ36" s="876"/>
      <c r="BA36" s="876"/>
      <c r="BB36" s="876"/>
      <c r="BC36" s="876"/>
      <c r="BD36" s="877"/>
      <c r="BE36" s="854" t="str">
        <f t="shared" si="2"/>
        <v/>
      </c>
      <c r="BF36" s="855"/>
      <c r="BG36" s="856"/>
      <c r="BH36" s="854" t="str">
        <f t="shared" si="3"/>
        <v/>
      </c>
      <c r="BI36" s="855"/>
      <c r="BJ36" s="856"/>
      <c r="BK36" s="857" t="str">
        <f t="shared" si="4"/>
        <v>×</v>
      </c>
      <c r="BL36" s="858"/>
      <c r="BM36" s="859"/>
    </row>
    <row r="37" spans="2:65" ht="32.25" customHeight="1">
      <c r="B37" s="860" t="s">
        <v>730</v>
      </c>
      <c r="C37" s="861"/>
      <c r="D37" s="861"/>
      <c r="E37" s="862"/>
      <c r="F37" s="863" t="s">
        <v>779</v>
      </c>
      <c r="G37" s="864"/>
      <c r="H37" s="864"/>
      <c r="I37" s="864"/>
      <c r="J37" s="864"/>
      <c r="K37" s="864"/>
      <c r="L37" s="864"/>
      <c r="M37" s="864"/>
      <c r="N37" s="864"/>
      <c r="O37" s="865"/>
      <c r="P37" s="866"/>
      <c r="Q37" s="867"/>
      <c r="R37" s="867"/>
      <c r="S37" s="867"/>
      <c r="T37" s="867"/>
      <c r="U37" s="867"/>
      <c r="V37" s="867"/>
      <c r="W37" s="867"/>
      <c r="X37" s="867"/>
      <c r="Y37" s="867"/>
      <c r="Z37" s="867"/>
      <c r="AA37" s="867"/>
      <c r="AB37" s="867"/>
      <c r="AC37" s="868"/>
      <c r="AD37" s="869" t="s">
        <v>202</v>
      </c>
      <c r="AE37" s="870"/>
      <c r="AF37" s="871"/>
      <c r="AG37" s="872">
        <v>1</v>
      </c>
      <c r="AH37" s="873"/>
      <c r="AI37" s="873"/>
      <c r="AJ37" s="873"/>
      <c r="AK37" s="873"/>
      <c r="AL37" s="874"/>
      <c r="AM37" s="872">
        <v>1800</v>
      </c>
      <c r="AN37" s="873"/>
      <c r="AO37" s="873"/>
      <c r="AP37" s="873"/>
      <c r="AQ37" s="873"/>
      <c r="AR37" s="874"/>
      <c r="AS37" s="875">
        <f t="shared" si="0"/>
        <v>1800</v>
      </c>
      <c r="AT37" s="876"/>
      <c r="AU37" s="876"/>
      <c r="AV37" s="876"/>
      <c r="AW37" s="876"/>
      <c r="AX37" s="877"/>
      <c r="AY37" s="875">
        <f t="shared" si="1"/>
        <v>1980</v>
      </c>
      <c r="AZ37" s="876"/>
      <c r="BA37" s="876"/>
      <c r="BB37" s="876"/>
      <c r="BC37" s="876"/>
      <c r="BD37" s="877"/>
      <c r="BE37" s="854" t="str">
        <f t="shared" si="2"/>
        <v/>
      </c>
      <c r="BF37" s="855"/>
      <c r="BG37" s="856"/>
      <c r="BH37" s="854" t="str">
        <f t="shared" si="3"/>
        <v/>
      </c>
      <c r="BI37" s="855"/>
      <c r="BJ37" s="856"/>
      <c r="BK37" s="857" t="str">
        <f t="shared" si="4"/>
        <v>×</v>
      </c>
      <c r="BL37" s="858"/>
      <c r="BM37" s="859"/>
    </row>
    <row r="38" spans="2:65" ht="32.25" customHeight="1">
      <c r="B38" s="860" t="s">
        <v>730</v>
      </c>
      <c r="C38" s="861"/>
      <c r="D38" s="861"/>
      <c r="E38" s="862"/>
      <c r="F38" s="863" t="s">
        <v>780</v>
      </c>
      <c r="G38" s="864"/>
      <c r="H38" s="864"/>
      <c r="I38" s="864"/>
      <c r="J38" s="864"/>
      <c r="K38" s="864"/>
      <c r="L38" s="864"/>
      <c r="M38" s="864"/>
      <c r="N38" s="864"/>
      <c r="O38" s="865"/>
      <c r="P38" s="866"/>
      <c r="Q38" s="867"/>
      <c r="R38" s="867"/>
      <c r="S38" s="867"/>
      <c r="T38" s="867"/>
      <c r="U38" s="867"/>
      <c r="V38" s="867"/>
      <c r="W38" s="867"/>
      <c r="X38" s="867"/>
      <c r="Y38" s="867"/>
      <c r="Z38" s="867"/>
      <c r="AA38" s="867"/>
      <c r="AB38" s="867"/>
      <c r="AC38" s="868"/>
      <c r="AD38" s="869" t="s">
        <v>202</v>
      </c>
      <c r="AE38" s="870"/>
      <c r="AF38" s="871"/>
      <c r="AG38" s="872">
        <v>5</v>
      </c>
      <c r="AH38" s="873"/>
      <c r="AI38" s="873"/>
      <c r="AJ38" s="873"/>
      <c r="AK38" s="873"/>
      <c r="AL38" s="874"/>
      <c r="AM38" s="872">
        <v>135000</v>
      </c>
      <c r="AN38" s="873"/>
      <c r="AO38" s="873"/>
      <c r="AP38" s="873"/>
      <c r="AQ38" s="873"/>
      <c r="AR38" s="874"/>
      <c r="AS38" s="875">
        <f t="shared" si="0"/>
        <v>675000</v>
      </c>
      <c r="AT38" s="876"/>
      <c r="AU38" s="876"/>
      <c r="AV38" s="876"/>
      <c r="AW38" s="876"/>
      <c r="AX38" s="877"/>
      <c r="AY38" s="875">
        <f t="shared" si="1"/>
        <v>742500</v>
      </c>
      <c r="AZ38" s="876"/>
      <c r="BA38" s="876"/>
      <c r="BB38" s="876"/>
      <c r="BC38" s="876"/>
      <c r="BD38" s="877"/>
      <c r="BE38" s="854" t="str">
        <f t="shared" si="2"/>
        <v>必要</v>
      </c>
      <c r="BF38" s="855"/>
      <c r="BG38" s="856"/>
      <c r="BH38" s="854" t="str">
        <f t="shared" si="3"/>
        <v/>
      </c>
      <c r="BI38" s="855"/>
      <c r="BJ38" s="856"/>
      <c r="BK38" s="857" t="str">
        <f t="shared" si="4"/>
        <v>〇</v>
      </c>
      <c r="BL38" s="858"/>
      <c r="BM38" s="859"/>
    </row>
    <row r="39" spans="2:65" ht="32.25" customHeight="1">
      <c r="B39" s="860" t="s">
        <v>730</v>
      </c>
      <c r="C39" s="861"/>
      <c r="D39" s="861"/>
      <c r="E39" s="862"/>
      <c r="F39" s="863" t="s">
        <v>748</v>
      </c>
      <c r="G39" s="864"/>
      <c r="H39" s="864"/>
      <c r="I39" s="864"/>
      <c r="J39" s="864"/>
      <c r="K39" s="864"/>
      <c r="L39" s="864"/>
      <c r="M39" s="864"/>
      <c r="N39" s="864"/>
      <c r="O39" s="865"/>
      <c r="P39" s="866"/>
      <c r="Q39" s="867"/>
      <c r="R39" s="867"/>
      <c r="S39" s="867"/>
      <c r="T39" s="867"/>
      <c r="U39" s="867"/>
      <c r="V39" s="867"/>
      <c r="W39" s="867"/>
      <c r="X39" s="867"/>
      <c r="Y39" s="867"/>
      <c r="Z39" s="867"/>
      <c r="AA39" s="867"/>
      <c r="AB39" s="867"/>
      <c r="AC39" s="868"/>
      <c r="AD39" s="869" t="s">
        <v>202</v>
      </c>
      <c r="AE39" s="870"/>
      <c r="AF39" s="871"/>
      <c r="AG39" s="872"/>
      <c r="AH39" s="873"/>
      <c r="AI39" s="873"/>
      <c r="AJ39" s="873"/>
      <c r="AK39" s="873"/>
      <c r="AL39" s="874"/>
      <c r="AM39" s="872"/>
      <c r="AN39" s="873"/>
      <c r="AO39" s="873"/>
      <c r="AP39" s="873"/>
      <c r="AQ39" s="873"/>
      <c r="AR39" s="874"/>
      <c r="AS39" s="875" t="str">
        <f t="shared" si="0"/>
        <v/>
      </c>
      <c r="AT39" s="876"/>
      <c r="AU39" s="876"/>
      <c r="AV39" s="876"/>
      <c r="AW39" s="876"/>
      <c r="AX39" s="877"/>
      <c r="AY39" s="875" t="str">
        <f t="shared" si="1"/>
        <v/>
      </c>
      <c r="AZ39" s="876"/>
      <c r="BA39" s="876"/>
      <c r="BB39" s="876"/>
      <c r="BC39" s="876"/>
      <c r="BD39" s="877"/>
      <c r="BE39" s="854" t="str">
        <f t="shared" si="2"/>
        <v/>
      </c>
      <c r="BF39" s="855"/>
      <c r="BG39" s="856"/>
      <c r="BH39" s="854" t="str">
        <f t="shared" si="3"/>
        <v/>
      </c>
      <c r="BI39" s="855"/>
      <c r="BJ39" s="856"/>
      <c r="BK39" s="857" t="str">
        <f t="shared" si="4"/>
        <v/>
      </c>
      <c r="BL39" s="858"/>
      <c r="BM39" s="859"/>
    </row>
    <row r="40" spans="2:65" ht="32.25" customHeight="1">
      <c r="B40" s="860" t="s">
        <v>730</v>
      </c>
      <c r="C40" s="861"/>
      <c r="D40" s="861"/>
      <c r="E40" s="862"/>
      <c r="F40" s="863" t="s">
        <v>749</v>
      </c>
      <c r="G40" s="864"/>
      <c r="H40" s="864"/>
      <c r="I40" s="864"/>
      <c r="J40" s="864"/>
      <c r="K40" s="864"/>
      <c r="L40" s="864"/>
      <c r="M40" s="864"/>
      <c r="N40" s="864"/>
      <c r="O40" s="865"/>
      <c r="P40" s="866"/>
      <c r="Q40" s="867"/>
      <c r="R40" s="867"/>
      <c r="S40" s="867"/>
      <c r="T40" s="867"/>
      <c r="U40" s="867"/>
      <c r="V40" s="867"/>
      <c r="W40" s="867"/>
      <c r="X40" s="867"/>
      <c r="Y40" s="867"/>
      <c r="Z40" s="867"/>
      <c r="AA40" s="867"/>
      <c r="AB40" s="867"/>
      <c r="AC40" s="868"/>
      <c r="AD40" s="869" t="s">
        <v>202</v>
      </c>
      <c r="AE40" s="870"/>
      <c r="AF40" s="871"/>
      <c r="AG40" s="872">
        <v>1</v>
      </c>
      <c r="AH40" s="873"/>
      <c r="AI40" s="873"/>
      <c r="AJ40" s="873"/>
      <c r="AK40" s="873"/>
      <c r="AL40" s="874"/>
      <c r="AM40" s="872">
        <v>1300</v>
      </c>
      <c r="AN40" s="873"/>
      <c r="AO40" s="873"/>
      <c r="AP40" s="873"/>
      <c r="AQ40" s="873"/>
      <c r="AR40" s="874"/>
      <c r="AS40" s="875">
        <f t="shared" si="0"/>
        <v>1300</v>
      </c>
      <c r="AT40" s="876"/>
      <c r="AU40" s="876"/>
      <c r="AV40" s="876"/>
      <c r="AW40" s="876"/>
      <c r="AX40" s="877"/>
      <c r="AY40" s="875">
        <f t="shared" si="1"/>
        <v>1430</v>
      </c>
      <c r="AZ40" s="876"/>
      <c r="BA40" s="876"/>
      <c r="BB40" s="876"/>
      <c r="BC40" s="876"/>
      <c r="BD40" s="877"/>
      <c r="BE40" s="854" t="str">
        <f t="shared" si="2"/>
        <v/>
      </c>
      <c r="BF40" s="855"/>
      <c r="BG40" s="856"/>
      <c r="BH40" s="854" t="str">
        <f t="shared" si="3"/>
        <v/>
      </c>
      <c r="BI40" s="855"/>
      <c r="BJ40" s="856"/>
      <c r="BK40" s="857" t="str">
        <f t="shared" si="4"/>
        <v>×</v>
      </c>
      <c r="BL40" s="858"/>
      <c r="BM40" s="859"/>
    </row>
    <row r="41" spans="2:65" ht="32.25" customHeight="1">
      <c r="B41" s="860" t="s">
        <v>730</v>
      </c>
      <c r="C41" s="861"/>
      <c r="D41" s="861"/>
      <c r="E41" s="862"/>
      <c r="F41" s="863" t="s">
        <v>750</v>
      </c>
      <c r="G41" s="864"/>
      <c r="H41" s="864"/>
      <c r="I41" s="864"/>
      <c r="J41" s="864"/>
      <c r="K41" s="864"/>
      <c r="L41" s="864"/>
      <c r="M41" s="864"/>
      <c r="N41" s="864"/>
      <c r="O41" s="865"/>
      <c r="P41" s="866"/>
      <c r="Q41" s="867"/>
      <c r="R41" s="867"/>
      <c r="S41" s="867"/>
      <c r="T41" s="867"/>
      <c r="U41" s="867"/>
      <c r="V41" s="867"/>
      <c r="W41" s="867"/>
      <c r="X41" s="867"/>
      <c r="Y41" s="867"/>
      <c r="Z41" s="867"/>
      <c r="AA41" s="867"/>
      <c r="AB41" s="867"/>
      <c r="AC41" s="868"/>
      <c r="AD41" s="869" t="s">
        <v>202</v>
      </c>
      <c r="AE41" s="870"/>
      <c r="AF41" s="871"/>
      <c r="AG41" s="872">
        <v>2</v>
      </c>
      <c r="AH41" s="873"/>
      <c r="AI41" s="873"/>
      <c r="AJ41" s="873"/>
      <c r="AK41" s="873"/>
      <c r="AL41" s="874"/>
      <c r="AM41" s="872">
        <v>17500</v>
      </c>
      <c r="AN41" s="873"/>
      <c r="AO41" s="873"/>
      <c r="AP41" s="873"/>
      <c r="AQ41" s="873"/>
      <c r="AR41" s="874"/>
      <c r="AS41" s="875">
        <f t="shared" si="0"/>
        <v>35000</v>
      </c>
      <c r="AT41" s="876"/>
      <c r="AU41" s="876"/>
      <c r="AV41" s="876"/>
      <c r="AW41" s="876"/>
      <c r="AX41" s="877"/>
      <c r="AY41" s="875">
        <f t="shared" si="1"/>
        <v>38500</v>
      </c>
      <c r="AZ41" s="876"/>
      <c r="BA41" s="876"/>
      <c r="BB41" s="876"/>
      <c r="BC41" s="876"/>
      <c r="BD41" s="877"/>
      <c r="BE41" s="854" t="str">
        <f t="shared" si="2"/>
        <v/>
      </c>
      <c r="BF41" s="855"/>
      <c r="BG41" s="856"/>
      <c r="BH41" s="854" t="str">
        <f t="shared" si="3"/>
        <v/>
      </c>
      <c r="BI41" s="855"/>
      <c r="BJ41" s="856"/>
      <c r="BK41" s="857" t="str">
        <f t="shared" si="4"/>
        <v>×</v>
      </c>
      <c r="BL41" s="858"/>
      <c r="BM41" s="859"/>
    </row>
    <row r="42" spans="2:65" ht="32.25" customHeight="1">
      <c r="B42" s="860" t="s">
        <v>730</v>
      </c>
      <c r="C42" s="861"/>
      <c r="D42" s="861"/>
      <c r="E42" s="862"/>
      <c r="F42" s="863" t="s">
        <v>751</v>
      </c>
      <c r="G42" s="864"/>
      <c r="H42" s="864"/>
      <c r="I42" s="864"/>
      <c r="J42" s="864"/>
      <c r="K42" s="864"/>
      <c r="L42" s="864"/>
      <c r="M42" s="864"/>
      <c r="N42" s="864"/>
      <c r="O42" s="865"/>
      <c r="P42" s="866"/>
      <c r="Q42" s="867"/>
      <c r="R42" s="867"/>
      <c r="S42" s="867"/>
      <c r="T42" s="867"/>
      <c r="U42" s="867"/>
      <c r="V42" s="867"/>
      <c r="W42" s="867"/>
      <c r="X42" s="867"/>
      <c r="Y42" s="867"/>
      <c r="Z42" s="867"/>
      <c r="AA42" s="867"/>
      <c r="AB42" s="867"/>
      <c r="AC42" s="868"/>
      <c r="AD42" s="869" t="s">
        <v>202</v>
      </c>
      <c r="AE42" s="870"/>
      <c r="AF42" s="871"/>
      <c r="AG42" s="872">
        <v>1</v>
      </c>
      <c r="AH42" s="873"/>
      <c r="AI42" s="873"/>
      <c r="AJ42" s="873"/>
      <c r="AK42" s="873"/>
      <c r="AL42" s="874"/>
      <c r="AM42" s="872">
        <v>1100</v>
      </c>
      <c r="AN42" s="873"/>
      <c r="AO42" s="873"/>
      <c r="AP42" s="873"/>
      <c r="AQ42" s="873"/>
      <c r="AR42" s="874"/>
      <c r="AS42" s="875">
        <f t="shared" ref="AS42:AS47" si="20">IF(AM42="","",AG42*AM42)</f>
        <v>1100</v>
      </c>
      <c r="AT42" s="876"/>
      <c r="AU42" s="876"/>
      <c r="AV42" s="876"/>
      <c r="AW42" s="876"/>
      <c r="AX42" s="877"/>
      <c r="AY42" s="875">
        <f t="shared" ref="AY42:AY47" si="21">IF(AM42="","",ROUNDDOWN(AG42*AM42*1.1,0))</f>
        <v>1210</v>
      </c>
      <c r="AZ42" s="876"/>
      <c r="BA42" s="876"/>
      <c r="BB42" s="876"/>
      <c r="BC42" s="876"/>
      <c r="BD42" s="877"/>
      <c r="BE42" s="854" t="str">
        <f t="shared" ref="BE42:BE47" si="22">IF(AS42="","",IF(AS42&gt;=300000,"必要",""))</f>
        <v/>
      </c>
      <c r="BF42" s="855"/>
      <c r="BG42" s="856"/>
      <c r="BH42" s="854" t="str">
        <f t="shared" ref="BH42:BH47" si="23">IF(AS42="","",IF(AS42&gt;=1000000,"必要",""))</f>
        <v/>
      </c>
      <c r="BI42" s="855"/>
      <c r="BJ42" s="856"/>
      <c r="BK42" s="857" t="str">
        <f t="shared" ref="BK42:BK47" si="24">IF(AM42="","",IF(AM42&lt;100000,"×","〇"))</f>
        <v>×</v>
      </c>
      <c r="BL42" s="858"/>
      <c r="BM42" s="859"/>
    </row>
    <row r="43" spans="2:65" ht="32.25" customHeight="1">
      <c r="B43" s="860" t="s">
        <v>730</v>
      </c>
      <c r="C43" s="861"/>
      <c r="D43" s="861"/>
      <c r="E43" s="862"/>
      <c r="F43" s="863" t="s">
        <v>752</v>
      </c>
      <c r="G43" s="864"/>
      <c r="H43" s="864"/>
      <c r="I43" s="864"/>
      <c r="J43" s="864"/>
      <c r="K43" s="864"/>
      <c r="L43" s="864"/>
      <c r="M43" s="864"/>
      <c r="N43" s="864"/>
      <c r="O43" s="865"/>
      <c r="P43" s="866"/>
      <c r="Q43" s="867"/>
      <c r="R43" s="867"/>
      <c r="S43" s="867"/>
      <c r="T43" s="867"/>
      <c r="U43" s="867"/>
      <c r="V43" s="867"/>
      <c r="W43" s="867"/>
      <c r="X43" s="867"/>
      <c r="Y43" s="867"/>
      <c r="Z43" s="867"/>
      <c r="AA43" s="867"/>
      <c r="AB43" s="867"/>
      <c r="AC43" s="868"/>
      <c r="AD43" s="869" t="s">
        <v>202</v>
      </c>
      <c r="AE43" s="870"/>
      <c r="AF43" s="871"/>
      <c r="AG43" s="872">
        <v>1</v>
      </c>
      <c r="AH43" s="873"/>
      <c r="AI43" s="873"/>
      <c r="AJ43" s="873"/>
      <c r="AK43" s="873"/>
      <c r="AL43" s="874"/>
      <c r="AM43" s="872">
        <v>1100</v>
      </c>
      <c r="AN43" s="873"/>
      <c r="AO43" s="873"/>
      <c r="AP43" s="873"/>
      <c r="AQ43" s="873"/>
      <c r="AR43" s="874"/>
      <c r="AS43" s="875">
        <f t="shared" si="20"/>
        <v>1100</v>
      </c>
      <c r="AT43" s="876"/>
      <c r="AU43" s="876"/>
      <c r="AV43" s="876"/>
      <c r="AW43" s="876"/>
      <c r="AX43" s="877"/>
      <c r="AY43" s="875">
        <f t="shared" si="21"/>
        <v>1210</v>
      </c>
      <c r="AZ43" s="876"/>
      <c r="BA43" s="876"/>
      <c r="BB43" s="876"/>
      <c r="BC43" s="876"/>
      <c r="BD43" s="877"/>
      <c r="BE43" s="854" t="str">
        <f t="shared" si="22"/>
        <v/>
      </c>
      <c r="BF43" s="855"/>
      <c r="BG43" s="856"/>
      <c r="BH43" s="854" t="str">
        <f t="shared" si="23"/>
        <v/>
      </c>
      <c r="BI43" s="855"/>
      <c r="BJ43" s="856"/>
      <c r="BK43" s="857" t="str">
        <f t="shared" si="24"/>
        <v>×</v>
      </c>
      <c r="BL43" s="858"/>
      <c r="BM43" s="859"/>
    </row>
    <row r="44" spans="2:65" ht="32.25" customHeight="1">
      <c r="B44" s="860" t="s">
        <v>730</v>
      </c>
      <c r="C44" s="861"/>
      <c r="D44" s="861"/>
      <c r="E44" s="862"/>
      <c r="F44" s="863" t="s">
        <v>753</v>
      </c>
      <c r="G44" s="864"/>
      <c r="H44" s="864"/>
      <c r="I44" s="864"/>
      <c r="J44" s="864"/>
      <c r="K44" s="864"/>
      <c r="L44" s="864"/>
      <c r="M44" s="864"/>
      <c r="N44" s="864"/>
      <c r="O44" s="865"/>
      <c r="P44" s="866"/>
      <c r="Q44" s="867"/>
      <c r="R44" s="867"/>
      <c r="S44" s="867"/>
      <c r="T44" s="867"/>
      <c r="U44" s="867"/>
      <c r="V44" s="867"/>
      <c r="W44" s="867"/>
      <c r="X44" s="867"/>
      <c r="Y44" s="867"/>
      <c r="Z44" s="867"/>
      <c r="AA44" s="867"/>
      <c r="AB44" s="867"/>
      <c r="AC44" s="868"/>
      <c r="AD44" s="869" t="s">
        <v>202</v>
      </c>
      <c r="AE44" s="870"/>
      <c r="AF44" s="871"/>
      <c r="AG44" s="872">
        <v>1</v>
      </c>
      <c r="AH44" s="873"/>
      <c r="AI44" s="873"/>
      <c r="AJ44" s="873"/>
      <c r="AK44" s="873"/>
      <c r="AL44" s="874"/>
      <c r="AM44" s="872">
        <v>2100</v>
      </c>
      <c r="AN44" s="873"/>
      <c r="AO44" s="873"/>
      <c r="AP44" s="873"/>
      <c r="AQ44" s="873"/>
      <c r="AR44" s="874"/>
      <c r="AS44" s="875">
        <f t="shared" si="20"/>
        <v>2100</v>
      </c>
      <c r="AT44" s="876"/>
      <c r="AU44" s="876"/>
      <c r="AV44" s="876"/>
      <c r="AW44" s="876"/>
      <c r="AX44" s="877"/>
      <c r="AY44" s="875">
        <f t="shared" si="21"/>
        <v>2310</v>
      </c>
      <c r="AZ44" s="876"/>
      <c r="BA44" s="876"/>
      <c r="BB44" s="876"/>
      <c r="BC44" s="876"/>
      <c r="BD44" s="877"/>
      <c r="BE44" s="854" t="str">
        <f t="shared" si="22"/>
        <v/>
      </c>
      <c r="BF44" s="855"/>
      <c r="BG44" s="856"/>
      <c r="BH44" s="854" t="str">
        <f t="shared" si="23"/>
        <v/>
      </c>
      <c r="BI44" s="855"/>
      <c r="BJ44" s="856"/>
      <c r="BK44" s="857" t="str">
        <f t="shared" si="24"/>
        <v>×</v>
      </c>
      <c r="BL44" s="858"/>
      <c r="BM44" s="859"/>
    </row>
    <row r="45" spans="2:65" ht="32.25" customHeight="1">
      <c r="B45" s="860" t="s">
        <v>730</v>
      </c>
      <c r="C45" s="861"/>
      <c r="D45" s="861"/>
      <c r="E45" s="862"/>
      <c r="F45" s="863" t="s">
        <v>754</v>
      </c>
      <c r="G45" s="864"/>
      <c r="H45" s="864"/>
      <c r="I45" s="864"/>
      <c r="J45" s="864"/>
      <c r="K45" s="864"/>
      <c r="L45" s="864"/>
      <c r="M45" s="864"/>
      <c r="N45" s="864"/>
      <c r="O45" s="865"/>
      <c r="P45" s="866"/>
      <c r="Q45" s="867"/>
      <c r="R45" s="867"/>
      <c r="S45" s="867"/>
      <c r="T45" s="867"/>
      <c r="U45" s="867"/>
      <c r="V45" s="867"/>
      <c r="W45" s="867"/>
      <c r="X45" s="867"/>
      <c r="Y45" s="867"/>
      <c r="Z45" s="867"/>
      <c r="AA45" s="867"/>
      <c r="AB45" s="867"/>
      <c r="AC45" s="868"/>
      <c r="AD45" s="869" t="s">
        <v>202</v>
      </c>
      <c r="AE45" s="870"/>
      <c r="AF45" s="871"/>
      <c r="AG45" s="872"/>
      <c r="AH45" s="873"/>
      <c r="AI45" s="873"/>
      <c r="AJ45" s="873"/>
      <c r="AK45" s="873"/>
      <c r="AL45" s="874"/>
      <c r="AM45" s="872"/>
      <c r="AN45" s="873"/>
      <c r="AO45" s="873"/>
      <c r="AP45" s="873"/>
      <c r="AQ45" s="873"/>
      <c r="AR45" s="874"/>
      <c r="AS45" s="875" t="str">
        <f t="shared" si="20"/>
        <v/>
      </c>
      <c r="AT45" s="876"/>
      <c r="AU45" s="876"/>
      <c r="AV45" s="876"/>
      <c r="AW45" s="876"/>
      <c r="AX45" s="877"/>
      <c r="AY45" s="875" t="str">
        <f t="shared" si="21"/>
        <v/>
      </c>
      <c r="AZ45" s="876"/>
      <c r="BA45" s="876"/>
      <c r="BB45" s="876"/>
      <c r="BC45" s="876"/>
      <c r="BD45" s="877"/>
      <c r="BE45" s="854" t="str">
        <f t="shared" si="22"/>
        <v/>
      </c>
      <c r="BF45" s="855"/>
      <c r="BG45" s="856"/>
      <c r="BH45" s="854" t="str">
        <f t="shared" si="23"/>
        <v/>
      </c>
      <c r="BI45" s="855"/>
      <c r="BJ45" s="856"/>
      <c r="BK45" s="857" t="str">
        <f t="shared" si="24"/>
        <v/>
      </c>
      <c r="BL45" s="858"/>
      <c r="BM45" s="859"/>
    </row>
    <row r="46" spans="2:65" ht="32.25" customHeight="1">
      <c r="B46" s="860" t="s">
        <v>730</v>
      </c>
      <c r="C46" s="861"/>
      <c r="D46" s="861"/>
      <c r="E46" s="862"/>
      <c r="F46" s="863" t="s">
        <v>755</v>
      </c>
      <c r="G46" s="864"/>
      <c r="H46" s="864"/>
      <c r="I46" s="864"/>
      <c r="J46" s="864"/>
      <c r="K46" s="864"/>
      <c r="L46" s="864"/>
      <c r="M46" s="864"/>
      <c r="N46" s="864"/>
      <c r="O46" s="865"/>
      <c r="P46" s="866"/>
      <c r="Q46" s="867"/>
      <c r="R46" s="867"/>
      <c r="S46" s="867"/>
      <c r="T46" s="867"/>
      <c r="U46" s="867"/>
      <c r="V46" s="867"/>
      <c r="W46" s="867"/>
      <c r="X46" s="867"/>
      <c r="Y46" s="867"/>
      <c r="Z46" s="867"/>
      <c r="AA46" s="867"/>
      <c r="AB46" s="867"/>
      <c r="AC46" s="868"/>
      <c r="AD46" s="869" t="s">
        <v>202</v>
      </c>
      <c r="AE46" s="870"/>
      <c r="AF46" s="871"/>
      <c r="AG46" s="872">
        <v>1</v>
      </c>
      <c r="AH46" s="873"/>
      <c r="AI46" s="873"/>
      <c r="AJ46" s="873"/>
      <c r="AK46" s="873"/>
      <c r="AL46" s="874"/>
      <c r="AM46" s="872">
        <v>12800</v>
      </c>
      <c r="AN46" s="873"/>
      <c r="AO46" s="873"/>
      <c r="AP46" s="873"/>
      <c r="AQ46" s="873"/>
      <c r="AR46" s="874"/>
      <c r="AS46" s="875">
        <f t="shared" si="20"/>
        <v>12800</v>
      </c>
      <c r="AT46" s="876"/>
      <c r="AU46" s="876"/>
      <c r="AV46" s="876"/>
      <c r="AW46" s="876"/>
      <c r="AX46" s="877"/>
      <c r="AY46" s="875">
        <f t="shared" si="21"/>
        <v>14080</v>
      </c>
      <c r="AZ46" s="876"/>
      <c r="BA46" s="876"/>
      <c r="BB46" s="876"/>
      <c r="BC46" s="876"/>
      <c r="BD46" s="877"/>
      <c r="BE46" s="854" t="str">
        <f t="shared" si="22"/>
        <v/>
      </c>
      <c r="BF46" s="855"/>
      <c r="BG46" s="856"/>
      <c r="BH46" s="854" t="str">
        <f t="shared" si="23"/>
        <v/>
      </c>
      <c r="BI46" s="855"/>
      <c r="BJ46" s="856"/>
      <c r="BK46" s="857" t="str">
        <f t="shared" si="24"/>
        <v>×</v>
      </c>
      <c r="BL46" s="858"/>
      <c r="BM46" s="859"/>
    </row>
    <row r="47" spans="2:65" ht="32.25" customHeight="1">
      <c r="B47" s="860" t="s">
        <v>730</v>
      </c>
      <c r="C47" s="861"/>
      <c r="D47" s="861"/>
      <c r="E47" s="862"/>
      <c r="F47" s="863" t="s">
        <v>756</v>
      </c>
      <c r="G47" s="864"/>
      <c r="H47" s="864"/>
      <c r="I47" s="864"/>
      <c r="J47" s="864"/>
      <c r="K47" s="864"/>
      <c r="L47" s="864"/>
      <c r="M47" s="864"/>
      <c r="N47" s="864"/>
      <c r="O47" s="865"/>
      <c r="P47" s="866"/>
      <c r="Q47" s="867"/>
      <c r="R47" s="867"/>
      <c r="S47" s="867"/>
      <c r="T47" s="867"/>
      <c r="U47" s="867"/>
      <c r="V47" s="867"/>
      <c r="W47" s="867"/>
      <c r="X47" s="867"/>
      <c r="Y47" s="867"/>
      <c r="Z47" s="867"/>
      <c r="AA47" s="867"/>
      <c r="AB47" s="867"/>
      <c r="AC47" s="868"/>
      <c r="AD47" s="869" t="s">
        <v>202</v>
      </c>
      <c r="AE47" s="870"/>
      <c r="AF47" s="871"/>
      <c r="AG47" s="872">
        <v>1</v>
      </c>
      <c r="AH47" s="873"/>
      <c r="AI47" s="873"/>
      <c r="AJ47" s="873"/>
      <c r="AK47" s="873"/>
      <c r="AL47" s="874"/>
      <c r="AM47" s="872">
        <v>1200</v>
      </c>
      <c r="AN47" s="873"/>
      <c r="AO47" s="873"/>
      <c r="AP47" s="873"/>
      <c r="AQ47" s="873"/>
      <c r="AR47" s="874"/>
      <c r="AS47" s="875">
        <f t="shared" si="20"/>
        <v>1200</v>
      </c>
      <c r="AT47" s="876"/>
      <c r="AU47" s="876"/>
      <c r="AV47" s="876"/>
      <c r="AW47" s="876"/>
      <c r="AX47" s="877"/>
      <c r="AY47" s="875">
        <f t="shared" si="21"/>
        <v>1320</v>
      </c>
      <c r="AZ47" s="876"/>
      <c r="BA47" s="876"/>
      <c r="BB47" s="876"/>
      <c r="BC47" s="876"/>
      <c r="BD47" s="877"/>
      <c r="BE47" s="854" t="str">
        <f t="shared" si="22"/>
        <v/>
      </c>
      <c r="BF47" s="855"/>
      <c r="BG47" s="856"/>
      <c r="BH47" s="854" t="str">
        <f t="shared" si="23"/>
        <v/>
      </c>
      <c r="BI47" s="855"/>
      <c r="BJ47" s="856"/>
      <c r="BK47" s="857" t="str">
        <f t="shared" si="24"/>
        <v>×</v>
      </c>
      <c r="BL47" s="858"/>
      <c r="BM47" s="859"/>
    </row>
    <row r="48" spans="2:65" ht="32.25" customHeight="1">
      <c r="B48" s="860" t="s">
        <v>730</v>
      </c>
      <c r="C48" s="861"/>
      <c r="D48" s="861"/>
      <c r="E48" s="862"/>
      <c r="F48" s="863" t="s">
        <v>757</v>
      </c>
      <c r="G48" s="864"/>
      <c r="H48" s="864"/>
      <c r="I48" s="864"/>
      <c r="J48" s="864"/>
      <c r="K48" s="864"/>
      <c r="L48" s="864"/>
      <c r="M48" s="864"/>
      <c r="N48" s="864"/>
      <c r="O48" s="865"/>
      <c r="P48" s="866"/>
      <c r="Q48" s="867"/>
      <c r="R48" s="867"/>
      <c r="S48" s="867"/>
      <c r="T48" s="867"/>
      <c r="U48" s="867"/>
      <c r="V48" s="867"/>
      <c r="W48" s="867"/>
      <c r="X48" s="867"/>
      <c r="Y48" s="867"/>
      <c r="Z48" s="867"/>
      <c r="AA48" s="867"/>
      <c r="AB48" s="867"/>
      <c r="AC48" s="868"/>
      <c r="AD48" s="869" t="s">
        <v>202</v>
      </c>
      <c r="AE48" s="870"/>
      <c r="AF48" s="871"/>
      <c r="AG48" s="872">
        <v>1</v>
      </c>
      <c r="AH48" s="873"/>
      <c r="AI48" s="873"/>
      <c r="AJ48" s="873"/>
      <c r="AK48" s="873"/>
      <c r="AL48" s="874"/>
      <c r="AM48" s="872">
        <v>2600</v>
      </c>
      <c r="AN48" s="873"/>
      <c r="AO48" s="873"/>
      <c r="AP48" s="873"/>
      <c r="AQ48" s="873"/>
      <c r="AR48" s="874"/>
      <c r="AS48" s="875">
        <f t="shared" ref="AS48:AS53" si="25">IF(AM48="","",AG48*AM48)</f>
        <v>2600</v>
      </c>
      <c r="AT48" s="876"/>
      <c r="AU48" s="876"/>
      <c r="AV48" s="876"/>
      <c r="AW48" s="876"/>
      <c r="AX48" s="877"/>
      <c r="AY48" s="875">
        <f t="shared" ref="AY48:AY53" si="26">IF(AM48="","",ROUNDDOWN(AG48*AM48*1.1,0))</f>
        <v>2860</v>
      </c>
      <c r="AZ48" s="876"/>
      <c r="BA48" s="876"/>
      <c r="BB48" s="876"/>
      <c r="BC48" s="876"/>
      <c r="BD48" s="877"/>
      <c r="BE48" s="854" t="str">
        <f t="shared" ref="BE48:BE53" si="27">IF(AS48="","",IF(AS48&gt;=300000,"必要",""))</f>
        <v/>
      </c>
      <c r="BF48" s="855"/>
      <c r="BG48" s="856"/>
      <c r="BH48" s="854" t="str">
        <f t="shared" ref="BH48:BH53" si="28">IF(AS48="","",IF(AS48&gt;=1000000,"必要",""))</f>
        <v/>
      </c>
      <c r="BI48" s="855"/>
      <c r="BJ48" s="856"/>
      <c r="BK48" s="857" t="str">
        <f t="shared" ref="BK48:BK53" si="29">IF(AM48="","",IF(AM48&lt;100000,"×","〇"))</f>
        <v>×</v>
      </c>
      <c r="BL48" s="858"/>
      <c r="BM48" s="859"/>
    </row>
    <row r="49" spans="2:65" ht="32.25" customHeight="1">
      <c r="B49" s="860" t="s">
        <v>730</v>
      </c>
      <c r="C49" s="861"/>
      <c r="D49" s="861"/>
      <c r="E49" s="862"/>
      <c r="F49" s="863" t="s">
        <v>758</v>
      </c>
      <c r="G49" s="864"/>
      <c r="H49" s="864"/>
      <c r="I49" s="864"/>
      <c r="J49" s="864"/>
      <c r="K49" s="864"/>
      <c r="L49" s="864"/>
      <c r="M49" s="864"/>
      <c r="N49" s="864"/>
      <c r="O49" s="865"/>
      <c r="P49" s="866"/>
      <c r="Q49" s="867"/>
      <c r="R49" s="867"/>
      <c r="S49" s="867"/>
      <c r="T49" s="867"/>
      <c r="U49" s="867"/>
      <c r="V49" s="867"/>
      <c r="W49" s="867"/>
      <c r="X49" s="867"/>
      <c r="Y49" s="867"/>
      <c r="Z49" s="867"/>
      <c r="AA49" s="867"/>
      <c r="AB49" s="867"/>
      <c r="AC49" s="868"/>
      <c r="AD49" s="869" t="s">
        <v>202</v>
      </c>
      <c r="AE49" s="870"/>
      <c r="AF49" s="871"/>
      <c r="AG49" s="872">
        <v>1</v>
      </c>
      <c r="AH49" s="873"/>
      <c r="AI49" s="873"/>
      <c r="AJ49" s="873"/>
      <c r="AK49" s="873"/>
      <c r="AL49" s="874"/>
      <c r="AM49" s="872">
        <v>1300</v>
      </c>
      <c r="AN49" s="873"/>
      <c r="AO49" s="873"/>
      <c r="AP49" s="873"/>
      <c r="AQ49" s="873"/>
      <c r="AR49" s="874"/>
      <c r="AS49" s="875">
        <f t="shared" si="25"/>
        <v>1300</v>
      </c>
      <c r="AT49" s="876"/>
      <c r="AU49" s="876"/>
      <c r="AV49" s="876"/>
      <c r="AW49" s="876"/>
      <c r="AX49" s="877"/>
      <c r="AY49" s="875">
        <f t="shared" si="26"/>
        <v>1430</v>
      </c>
      <c r="AZ49" s="876"/>
      <c r="BA49" s="876"/>
      <c r="BB49" s="876"/>
      <c r="BC49" s="876"/>
      <c r="BD49" s="877"/>
      <c r="BE49" s="854" t="str">
        <f t="shared" si="27"/>
        <v/>
      </c>
      <c r="BF49" s="855"/>
      <c r="BG49" s="856"/>
      <c r="BH49" s="854" t="str">
        <f t="shared" si="28"/>
        <v/>
      </c>
      <c r="BI49" s="855"/>
      <c r="BJ49" s="856"/>
      <c r="BK49" s="857" t="str">
        <f t="shared" si="29"/>
        <v>×</v>
      </c>
      <c r="BL49" s="858"/>
      <c r="BM49" s="859"/>
    </row>
    <row r="50" spans="2:65" ht="32.25" customHeight="1">
      <c r="B50" s="860" t="s">
        <v>730</v>
      </c>
      <c r="C50" s="861"/>
      <c r="D50" s="861"/>
      <c r="E50" s="862"/>
      <c r="F50" s="863" t="s">
        <v>759</v>
      </c>
      <c r="G50" s="864"/>
      <c r="H50" s="864"/>
      <c r="I50" s="864"/>
      <c r="J50" s="864"/>
      <c r="K50" s="864"/>
      <c r="L50" s="864"/>
      <c r="M50" s="864"/>
      <c r="N50" s="864"/>
      <c r="O50" s="865"/>
      <c r="P50" s="866"/>
      <c r="Q50" s="867"/>
      <c r="R50" s="867"/>
      <c r="S50" s="867"/>
      <c r="T50" s="867"/>
      <c r="U50" s="867"/>
      <c r="V50" s="867"/>
      <c r="W50" s="867"/>
      <c r="X50" s="867"/>
      <c r="Y50" s="867"/>
      <c r="Z50" s="867"/>
      <c r="AA50" s="867"/>
      <c r="AB50" s="867"/>
      <c r="AC50" s="868"/>
      <c r="AD50" s="869" t="s">
        <v>202</v>
      </c>
      <c r="AE50" s="870"/>
      <c r="AF50" s="871"/>
      <c r="AG50" s="872">
        <v>1</v>
      </c>
      <c r="AH50" s="873"/>
      <c r="AI50" s="873"/>
      <c r="AJ50" s="873"/>
      <c r="AK50" s="873"/>
      <c r="AL50" s="874"/>
      <c r="AM50" s="872"/>
      <c r="AN50" s="873"/>
      <c r="AO50" s="873"/>
      <c r="AP50" s="873"/>
      <c r="AQ50" s="873"/>
      <c r="AR50" s="874"/>
      <c r="AS50" s="875" t="str">
        <f t="shared" si="25"/>
        <v/>
      </c>
      <c r="AT50" s="876"/>
      <c r="AU50" s="876"/>
      <c r="AV50" s="876"/>
      <c r="AW50" s="876"/>
      <c r="AX50" s="877"/>
      <c r="AY50" s="875" t="str">
        <f t="shared" si="26"/>
        <v/>
      </c>
      <c r="AZ50" s="876"/>
      <c r="BA50" s="876"/>
      <c r="BB50" s="876"/>
      <c r="BC50" s="876"/>
      <c r="BD50" s="877"/>
      <c r="BE50" s="854" t="str">
        <f t="shared" si="27"/>
        <v/>
      </c>
      <c r="BF50" s="855"/>
      <c r="BG50" s="856"/>
      <c r="BH50" s="854" t="str">
        <f t="shared" si="28"/>
        <v/>
      </c>
      <c r="BI50" s="855"/>
      <c r="BJ50" s="856"/>
      <c r="BK50" s="857" t="str">
        <f t="shared" si="29"/>
        <v/>
      </c>
      <c r="BL50" s="858"/>
      <c r="BM50" s="859"/>
    </row>
    <row r="51" spans="2:65" ht="32.25" customHeight="1">
      <c r="B51" s="860" t="s">
        <v>730</v>
      </c>
      <c r="C51" s="861"/>
      <c r="D51" s="861"/>
      <c r="E51" s="862"/>
      <c r="F51" s="863" t="s">
        <v>770</v>
      </c>
      <c r="G51" s="864"/>
      <c r="H51" s="864"/>
      <c r="I51" s="864"/>
      <c r="J51" s="864"/>
      <c r="K51" s="864"/>
      <c r="L51" s="864"/>
      <c r="M51" s="864"/>
      <c r="N51" s="864"/>
      <c r="O51" s="865"/>
      <c r="P51" s="866"/>
      <c r="Q51" s="867"/>
      <c r="R51" s="867"/>
      <c r="S51" s="867"/>
      <c r="T51" s="867"/>
      <c r="U51" s="867"/>
      <c r="V51" s="867"/>
      <c r="W51" s="867"/>
      <c r="X51" s="867"/>
      <c r="Y51" s="867"/>
      <c r="Z51" s="867"/>
      <c r="AA51" s="867"/>
      <c r="AB51" s="867"/>
      <c r="AC51" s="868"/>
      <c r="AD51" s="869" t="s">
        <v>202</v>
      </c>
      <c r="AE51" s="870"/>
      <c r="AF51" s="871"/>
      <c r="AG51" s="872">
        <v>1</v>
      </c>
      <c r="AH51" s="873"/>
      <c r="AI51" s="873"/>
      <c r="AJ51" s="873"/>
      <c r="AK51" s="873"/>
      <c r="AL51" s="874"/>
      <c r="AM51" s="872">
        <v>2200</v>
      </c>
      <c r="AN51" s="873"/>
      <c r="AO51" s="873"/>
      <c r="AP51" s="873"/>
      <c r="AQ51" s="873"/>
      <c r="AR51" s="874"/>
      <c r="AS51" s="875">
        <f t="shared" si="25"/>
        <v>2200</v>
      </c>
      <c r="AT51" s="876"/>
      <c r="AU51" s="876"/>
      <c r="AV51" s="876"/>
      <c r="AW51" s="876"/>
      <c r="AX51" s="877"/>
      <c r="AY51" s="875">
        <f t="shared" si="26"/>
        <v>2420</v>
      </c>
      <c r="AZ51" s="876"/>
      <c r="BA51" s="876"/>
      <c r="BB51" s="876"/>
      <c r="BC51" s="876"/>
      <c r="BD51" s="877"/>
      <c r="BE51" s="854" t="str">
        <f t="shared" si="27"/>
        <v/>
      </c>
      <c r="BF51" s="855"/>
      <c r="BG51" s="856"/>
      <c r="BH51" s="854" t="str">
        <f t="shared" si="28"/>
        <v/>
      </c>
      <c r="BI51" s="855"/>
      <c r="BJ51" s="856"/>
      <c r="BK51" s="857" t="str">
        <f t="shared" si="29"/>
        <v>×</v>
      </c>
      <c r="BL51" s="858"/>
      <c r="BM51" s="859"/>
    </row>
    <row r="52" spans="2:65" ht="32.25" customHeight="1">
      <c r="B52" s="860" t="s">
        <v>730</v>
      </c>
      <c r="C52" s="861"/>
      <c r="D52" s="861"/>
      <c r="E52" s="862"/>
      <c r="F52" s="863" t="s">
        <v>760</v>
      </c>
      <c r="G52" s="864"/>
      <c r="H52" s="864"/>
      <c r="I52" s="864"/>
      <c r="J52" s="864"/>
      <c r="K52" s="864"/>
      <c r="L52" s="864"/>
      <c r="M52" s="864"/>
      <c r="N52" s="864"/>
      <c r="O52" s="865"/>
      <c r="P52" s="866"/>
      <c r="Q52" s="867"/>
      <c r="R52" s="867"/>
      <c r="S52" s="867"/>
      <c r="T52" s="867"/>
      <c r="U52" s="867"/>
      <c r="V52" s="867"/>
      <c r="W52" s="867"/>
      <c r="X52" s="867"/>
      <c r="Y52" s="867"/>
      <c r="Z52" s="867"/>
      <c r="AA52" s="867"/>
      <c r="AB52" s="867"/>
      <c r="AC52" s="868"/>
      <c r="AD52" s="869" t="s">
        <v>202</v>
      </c>
      <c r="AE52" s="870"/>
      <c r="AF52" s="871"/>
      <c r="AG52" s="872">
        <v>1</v>
      </c>
      <c r="AH52" s="873"/>
      <c r="AI52" s="873"/>
      <c r="AJ52" s="873"/>
      <c r="AK52" s="873"/>
      <c r="AL52" s="874"/>
      <c r="AM52" s="872">
        <v>1170</v>
      </c>
      <c r="AN52" s="873"/>
      <c r="AO52" s="873"/>
      <c r="AP52" s="873"/>
      <c r="AQ52" s="873"/>
      <c r="AR52" s="874"/>
      <c r="AS52" s="875">
        <f t="shared" si="25"/>
        <v>1170</v>
      </c>
      <c r="AT52" s="876"/>
      <c r="AU52" s="876"/>
      <c r="AV52" s="876"/>
      <c r="AW52" s="876"/>
      <c r="AX52" s="877"/>
      <c r="AY52" s="875">
        <f t="shared" si="26"/>
        <v>1287</v>
      </c>
      <c r="AZ52" s="876"/>
      <c r="BA52" s="876"/>
      <c r="BB52" s="876"/>
      <c r="BC52" s="876"/>
      <c r="BD52" s="877"/>
      <c r="BE52" s="854" t="str">
        <f t="shared" si="27"/>
        <v/>
      </c>
      <c r="BF52" s="855"/>
      <c r="BG52" s="856"/>
      <c r="BH52" s="854" t="str">
        <f t="shared" si="28"/>
        <v/>
      </c>
      <c r="BI52" s="855"/>
      <c r="BJ52" s="856"/>
      <c r="BK52" s="857" t="str">
        <f t="shared" si="29"/>
        <v>×</v>
      </c>
      <c r="BL52" s="858"/>
      <c r="BM52" s="859"/>
    </row>
    <row r="53" spans="2:65" ht="32.25" customHeight="1">
      <c r="B53" s="860" t="s">
        <v>730</v>
      </c>
      <c r="C53" s="861"/>
      <c r="D53" s="861"/>
      <c r="E53" s="862"/>
      <c r="F53" s="863" t="s">
        <v>761</v>
      </c>
      <c r="G53" s="864"/>
      <c r="H53" s="864"/>
      <c r="I53" s="864"/>
      <c r="J53" s="864"/>
      <c r="K53" s="864"/>
      <c r="L53" s="864"/>
      <c r="M53" s="864"/>
      <c r="N53" s="864"/>
      <c r="O53" s="865"/>
      <c r="P53" s="866"/>
      <c r="Q53" s="867"/>
      <c r="R53" s="867"/>
      <c r="S53" s="867"/>
      <c r="T53" s="867"/>
      <c r="U53" s="867"/>
      <c r="V53" s="867"/>
      <c r="W53" s="867"/>
      <c r="X53" s="867"/>
      <c r="Y53" s="867"/>
      <c r="Z53" s="867"/>
      <c r="AA53" s="867"/>
      <c r="AB53" s="867"/>
      <c r="AC53" s="868"/>
      <c r="AD53" s="869" t="s">
        <v>202</v>
      </c>
      <c r="AE53" s="870"/>
      <c r="AF53" s="871"/>
      <c r="AG53" s="872">
        <v>5</v>
      </c>
      <c r="AH53" s="873"/>
      <c r="AI53" s="873"/>
      <c r="AJ53" s="873"/>
      <c r="AK53" s="873"/>
      <c r="AL53" s="874"/>
      <c r="AM53" s="872">
        <v>1650</v>
      </c>
      <c r="AN53" s="873"/>
      <c r="AO53" s="873"/>
      <c r="AP53" s="873"/>
      <c r="AQ53" s="873"/>
      <c r="AR53" s="874"/>
      <c r="AS53" s="875">
        <f t="shared" si="25"/>
        <v>8250</v>
      </c>
      <c r="AT53" s="876"/>
      <c r="AU53" s="876"/>
      <c r="AV53" s="876"/>
      <c r="AW53" s="876"/>
      <c r="AX53" s="877"/>
      <c r="AY53" s="875">
        <f t="shared" si="26"/>
        <v>9075</v>
      </c>
      <c r="AZ53" s="876"/>
      <c r="BA53" s="876"/>
      <c r="BB53" s="876"/>
      <c r="BC53" s="876"/>
      <c r="BD53" s="877"/>
      <c r="BE53" s="854" t="str">
        <f t="shared" si="27"/>
        <v/>
      </c>
      <c r="BF53" s="855"/>
      <c r="BG53" s="856"/>
      <c r="BH53" s="854" t="str">
        <f t="shared" si="28"/>
        <v/>
      </c>
      <c r="BI53" s="855"/>
      <c r="BJ53" s="856"/>
      <c r="BK53" s="857" t="str">
        <f t="shared" si="29"/>
        <v>×</v>
      </c>
      <c r="BL53" s="858"/>
      <c r="BM53" s="859"/>
    </row>
    <row r="54" spans="2:65" ht="32.25" customHeight="1">
      <c r="B54" s="860" t="s">
        <v>730</v>
      </c>
      <c r="C54" s="861"/>
      <c r="D54" s="861"/>
      <c r="E54" s="862"/>
      <c r="F54" s="863" t="s">
        <v>762</v>
      </c>
      <c r="G54" s="864"/>
      <c r="H54" s="864"/>
      <c r="I54" s="864"/>
      <c r="J54" s="864"/>
      <c r="K54" s="864"/>
      <c r="L54" s="864"/>
      <c r="M54" s="864"/>
      <c r="N54" s="864"/>
      <c r="O54" s="865"/>
      <c r="P54" s="866"/>
      <c r="Q54" s="867"/>
      <c r="R54" s="867"/>
      <c r="S54" s="867"/>
      <c r="T54" s="867"/>
      <c r="U54" s="867"/>
      <c r="V54" s="867"/>
      <c r="W54" s="867"/>
      <c r="X54" s="867"/>
      <c r="Y54" s="867"/>
      <c r="Z54" s="867"/>
      <c r="AA54" s="867"/>
      <c r="AB54" s="867"/>
      <c r="AC54" s="868"/>
      <c r="AD54" s="869" t="s">
        <v>202</v>
      </c>
      <c r="AE54" s="870"/>
      <c r="AF54" s="871"/>
      <c r="AG54" s="872"/>
      <c r="AH54" s="873"/>
      <c r="AI54" s="873"/>
      <c r="AJ54" s="873"/>
      <c r="AK54" s="873"/>
      <c r="AL54" s="874"/>
      <c r="AM54" s="872"/>
      <c r="AN54" s="873"/>
      <c r="AO54" s="873"/>
      <c r="AP54" s="873"/>
      <c r="AQ54" s="873"/>
      <c r="AR54" s="874"/>
      <c r="AS54" s="875" t="str">
        <f t="shared" si="0"/>
        <v/>
      </c>
      <c r="AT54" s="876"/>
      <c r="AU54" s="876"/>
      <c r="AV54" s="876"/>
      <c r="AW54" s="876"/>
      <c r="AX54" s="877"/>
      <c r="AY54" s="875" t="str">
        <f t="shared" si="1"/>
        <v/>
      </c>
      <c r="AZ54" s="876"/>
      <c r="BA54" s="876"/>
      <c r="BB54" s="876"/>
      <c r="BC54" s="876"/>
      <c r="BD54" s="877"/>
      <c r="BE54" s="854" t="str">
        <f t="shared" si="2"/>
        <v/>
      </c>
      <c r="BF54" s="855"/>
      <c r="BG54" s="856"/>
      <c r="BH54" s="854" t="str">
        <f t="shared" si="3"/>
        <v/>
      </c>
      <c r="BI54" s="855"/>
      <c r="BJ54" s="856"/>
      <c r="BK54" s="857" t="str">
        <f t="shared" si="4"/>
        <v/>
      </c>
      <c r="BL54" s="858"/>
      <c r="BM54" s="859"/>
    </row>
    <row r="55" spans="2:65" ht="32.25" customHeight="1">
      <c r="B55" s="860" t="s">
        <v>730</v>
      </c>
      <c r="C55" s="861"/>
      <c r="D55" s="861"/>
      <c r="E55" s="862"/>
      <c r="F55" s="863" t="s">
        <v>763</v>
      </c>
      <c r="G55" s="864"/>
      <c r="H55" s="864"/>
      <c r="I55" s="864"/>
      <c r="J55" s="864"/>
      <c r="K55" s="864"/>
      <c r="L55" s="864"/>
      <c r="M55" s="864"/>
      <c r="N55" s="864"/>
      <c r="O55" s="865"/>
      <c r="P55" s="866"/>
      <c r="Q55" s="867"/>
      <c r="R55" s="867"/>
      <c r="S55" s="867"/>
      <c r="T55" s="867"/>
      <c r="U55" s="867"/>
      <c r="V55" s="867"/>
      <c r="W55" s="867"/>
      <c r="X55" s="867"/>
      <c r="Y55" s="867"/>
      <c r="Z55" s="867"/>
      <c r="AA55" s="867"/>
      <c r="AB55" s="867"/>
      <c r="AC55" s="868"/>
      <c r="AD55" s="869" t="s">
        <v>202</v>
      </c>
      <c r="AE55" s="870"/>
      <c r="AF55" s="871"/>
      <c r="AG55" s="872">
        <v>1</v>
      </c>
      <c r="AH55" s="873"/>
      <c r="AI55" s="873"/>
      <c r="AJ55" s="873"/>
      <c r="AK55" s="873"/>
      <c r="AL55" s="874"/>
      <c r="AM55" s="872">
        <v>1600</v>
      </c>
      <c r="AN55" s="873"/>
      <c r="AO55" s="873"/>
      <c r="AP55" s="873"/>
      <c r="AQ55" s="873"/>
      <c r="AR55" s="874"/>
      <c r="AS55" s="875">
        <f t="shared" si="0"/>
        <v>1600</v>
      </c>
      <c r="AT55" s="876"/>
      <c r="AU55" s="876"/>
      <c r="AV55" s="876"/>
      <c r="AW55" s="876"/>
      <c r="AX55" s="877"/>
      <c r="AY55" s="875">
        <f t="shared" si="1"/>
        <v>1760</v>
      </c>
      <c r="AZ55" s="876"/>
      <c r="BA55" s="876"/>
      <c r="BB55" s="876"/>
      <c r="BC55" s="876"/>
      <c r="BD55" s="877"/>
      <c r="BE55" s="854" t="str">
        <f t="shared" si="2"/>
        <v/>
      </c>
      <c r="BF55" s="855"/>
      <c r="BG55" s="856"/>
      <c r="BH55" s="854" t="str">
        <f t="shared" si="3"/>
        <v/>
      </c>
      <c r="BI55" s="855"/>
      <c r="BJ55" s="856"/>
      <c r="BK55" s="857" t="str">
        <f t="shared" si="4"/>
        <v>×</v>
      </c>
      <c r="BL55" s="858"/>
      <c r="BM55" s="859"/>
    </row>
    <row r="56" spans="2:65" ht="32.25" customHeight="1">
      <c r="B56" s="860" t="s">
        <v>730</v>
      </c>
      <c r="C56" s="861"/>
      <c r="D56" s="861"/>
      <c r="E56" s="862"/>
      <c r="F56" s="863" t="s">
        <v>764</v>
      </c>
      <c r="G56" s="864"/>
      <c r="H56" s="864"/>
      <c r="I56" s="864"/>
      <c r="J56" s="864"/>
      <c r="K56" s="864"/>
      <c r="L56" s="864"/>
      <c r="M56" s="864"/>
      <c r="N56" s="864"/>
      <c r="O56" s="865"/>
      <c r="P56" s="866"/>
      <c r="Q56" s="867"/>
      <c r="R56" s="867"/>
      <c r="S56" s="867"/>
      <c r="T56" s="867"/>
      <c r="U56" s="867"/>
      <c r="V56" s="867"/>
      <c r="W56" s="867"/>
      <c r="X56" s="867"/>
      <c r="Y56" s="867"/>
      <c r="Z56" s="867"/>
      <c r="AA56" s="867"/>
      <c r="AB56" s="867"/>
      <c r="AC56" s="868"/>
      <c r="AD56" s="869" t="s">
        <v>202</v>
      </c>
      <c r="AE56" s="870"/>
      <c r="AF56" s="871"/>
      <c r="AG56" s="872">
        <v>1</v>
      </c>
      <c r="AH56" s="873"/>
      <c r="AI56" s="873"/>
      <c r="AJ56" s="873"/>
      <c r="AK56" s="873"/>
      <c r="AL56" s="874"/>
      <c r="AM56" s="872">
        <v>1400</v>
      </c>
      <c r="AN56" s="873"/>
      <c r="AO56" s="873"/>
      <c r="AP56" s="873"/>
      <c r="AQ56" s="873"/>
      <c r="AR56" s="874"/>
      <c r="AS56" s="875">
        <f t="shared" ref="AS56" si="30">IF(AM56="","",AG56*AM56)</f>
        <v>1400</v>
      </c>
      <c r="AT56" s="876"/>
      <c r="AU56" s="876"/>
      <c r="AV56" s="876"/>
      <c r="AW56" s="876"/>
      <c r="AX56" s="877"/>
      <c r="AY56" s="875">
        <f t="shared" ref="AY56" si="31">IF(AM56="","",ROUNDDOWN(AG56*AM56*1.1,0))</f>
        <v>1540</v>
      </c>
      <c r="AZ56" s="876"/>
      <c r="BA56" s="876"/>
      <c r="BB56" s="876"/>
      <c r="BC56" s="876"/>
      <c r="BD56" s="877"/>
      <c r="BE56" s="854" t="str">
        <f t="shared" ref="BE56" si="32">IF(AS56="","",IF(AS56&gt;=300000,"必要",""))</f>
        <v/>
      </c>
      <c r="BF56" s="855"/>
      <c r="BG56" s="856"/>
      <c r="BH56" s="854" t="str">
        <f t="shared" ref="BH56" si="33">IF(AS56="","",IF(AS56&gt;=1000000,"必要",""))</f>
        <v/>
      </c>
      <c r="BI56" s="855"/>
      <c r="BJ56" s="856"/>
      <c r="BK56" s="857" t="str">
        <f t="shared" ref="BK56" si="34">IF(AM56="","",IF(AM56&lt;100000,"×","〇"))</f>
        <v>×</v>
      </c>
      <c r="BL56" s="858"/>
      <c r="BM56" s="859"/>
    </row>
    <row r="57" spans="2:65" ht="32.25" customHeight="1">
      <c r="B57" s="860" t="s">
        <v>730</v>
      </c>
      <c r="C57" s="861"/>
      <c r="D57" s="861"/>
      <c r="E57" s="862"/>
      <c r="F57" s="863" t="s">
        <v>765</v>
      </c>
      <c r="G57" s="864"/>
      <c r="H57" s="864"/>
      <c r="I57" s="864"/>
      <c r="J57" s="864"/>
      <c r="K57" s="864"/>
      <c r="L57" s="864"/>
      <c r="M57" s="864"/>
      <c r="N57" s="864"/>
      <c r="O57" s="865"/>
      <c r="P57" s="866"/>
      <c r="Q57" s="867"/>
      <c r="R57" s="867"/>
      <c r="S57" s="867"/>
      <c r="T57" s="867"/>
      <c r="U57" s="867"/>
      <c r="V57" s="867"/>
      <c r="W57" s="867"/>
      <c r="X57" s="867"/>
      <c r="Y57" s="867"/>
      <c r="Z57" s="867"/>
      <c r="AA57" s="867"/>
      <c r="AB57" s="867"/>
      <c r="AC57" s="868"/>
      <c r="AD57" s="869" t="s">
        <v>202</v>
      </c>
      <c r="AE57" s="870"/>
      <c r="AF57" s="871"/>
      <c r="AG57" s="872">
        <v>1</v>
      </c>
      <c r="AH57" s="873"/>
      <c r="AI57" s="873"/>
      <c r="AJ57" s="873"/>
      <c r="AK57" s="873"/>
      <c r="AL57" s="874"/>
      <c r="AM57" s="872">
        <v>5250</v>
      </c>
      <c r="AN57" s="873"/>
      <c r="AO57" s="873"/>
      <c r="AP57" s="873"/>
      <c r="AQ57" s="873"/>
      <c r="AR57" s="874"/>
      <c r="AS57" s="875">
        <f t="shared" ref="AS57" si="35">IF(AM57="","",AG57*AM57)</f>
        <v>5250</v>
      </c>
      <c r="AT57" s="876"/>
      <c r="AU57" s="876"/>
      <c r="AV57" s="876"/>
      <c r="AW57" s="876"/>
      <c r="AX57" s="877"/>
      <c r="AY57" s="875">
        <f t="shared" ref="AY57" si="36">IF(AM57="","",ROUNDDOWN(AG57*AM57*1.1,0))</f>
        <v>5775</v>
      </c>
      <c r="AZ57" s="876"/>
      <c r="BA57" s="876"/>
      <c r="BB57" s="876"/>
      <c r="BC57" s="876"/>
      <c r="BD57" s="877"/>
      <c r="BE57" s="854" t="str">
        <f t="shared" ref="BE57" si="37">IF(AS57="","",IF(AS57&gt;=300000,"必要",""))</f>
        <v/>
      </c>
      <c r="BF57" s="855"/>
      <c r="BG57" s="856"/>
      <c r="BH57" s="854" t="str">
        <f t="shared" ref="BH57" si="38">IF(AS57="","",IF(AS57&gt;=1000000,"必要",""))</f>
        <v/>
      </c>
      <c r="BI57" s="855"/>
      <c r="BJ57" s="856"/>
      <c r="BK57" s="857" t="str">
        <f t="shared" ref="BK57" si="39">IF(AM57="","",IF(AM57&lt;100000,"×","〇"))</f>
        <v>×</v>
      </c>
      <c r="BL57" s="858"/>
      <c r="BM57" s="859"/>
    </row>
    <row r="58" spans="2:65" ht="32.25" customHeight="1">
      <c r="B58" s="860" t="s">
        <v>730</v>
      </c>
      <c r="C58" s="861"/>
      <c r="D58" s="861"/>
      <c r="E58" s="862"/>
      <c r="F58" s="863" t="s">
        <v>766</v>
      </c>
      <c r="G58" s="864"/>
      <c r="H58" s="864"/>
      <c r="I58" s="864"/>
      <c r="J58" s="864"/>
      <c r="K58" s="864"/>
      <c r="L58" s="864"/>
      <c r="M58" s="864"/>
      <c r="N58" s="864"/>
      <c r="O58" s="865"/>
      <c r="P58" s="866"/>
      <c r="Q58" s="867"/>
      <c r="R58" s="867"/>
      <c r="S58" s="867"/>
      <c r="T58" s="867"/>
      <c r="U58" s="867"/>
      <c r="V58" s="867"/>
      <c r="W58" s="867"/>
      <c r="X58" s="867"/>
      <c r="Y58" s="867"/>
      <c r="Z58" s="867"/>
      <c r="AA58" s="867"/>
      <c r="AB58" s="867"/>
      <c r="AC58" s="868"/>
      <c r="AD58" s="869" t="s">
        <v>202</v>
      </c>
      <c r="AE58" s="870"/>
      <c r="AF58" s="871"/>
      <c r="AG58" s="872">
        <v>1</v>
      </c>
      <c r="AH58" s="873"/>
      <c r="AI58" s="873"/>
      <c r="AJ58" s="873"/>
      <c r="AK58" s="873"/>
      <c r="AL58" s="874"/>
      <c r="AM58" s="872">
        <v>3790</v>
      </c>
      <c r="AN58" s="873"/>
      <c r="AO58" s="873"/>
      <c r="AP58" s="873"/>
      <c r="AQ58" s="873"/>
      <c r="AR58" s="874"/>
      <c r="AS58" s="875">
        <f t="shared" ref="AS58:AS61" si="40">IF(AM58="","",AG58*AM58)</f>
        <v>3790</v>
      </c>
      <c r="AT58" s="876"/>
      <c r="AU58" s="876"/>
      <c r="AV58" s="876"/>
      <c r="AW58" s="876"/>
      <c r="AX58" s="877"/>
      <c r="AY58" s="875">
        <f t="shared" ref="AY58:AY61" si="41">IF(AM58="","",ROUNDDOWN(AG58*AM58*1.1,0))</f>
        <v>4169</v>
      </c>
      <c r="AZ58" s="876"/>
      <c r="BA58" s="876"/>
      <c r="BB58" s="876"/>
      <c r="BC58" s="876"/>
      <c r="BD58" s="877"/>
      <c r="BE58" s="854" t="str">
        <f t="shared" ref="BE58:BE61" si="42">IF(AS58="","",IF(AS58&gt;=300000,"必要",""))</f>
        <v/>
      </c>
      <c r="BF58" s="855"/>
      <c r="BG58" s="856"/>
      <c r="BH58" s="854" t="str">
        <f t="shared" ref="BH58:BH61" si="43">IF(AS58="","",IF(AS58&gt;=1000000,"必要",""))</f>
        <v/>
      </c>
      <c r="BI58" s="855"/>
      <c r="BJ58" s="856"/>
      <c r="BK58" s="857" t="str">
        <f t="shared" ref="BK58:BK61" si="44">IF(AM58="","",IF(AM58&lt;100000,"×","〇"))</f>
        <v>×</v>
      </c>
      <c r="BL58" s="858"/>
      <c r="BM58" s="859"/>
    </row>
    <row r="59" spans="2:65" ht="32.25" customHeight="1">
      <c r="B59" s="860" t="s">
        <v>730</v>
      </c>
      <c r="C59" s="861"/>
      <c r="D59" s="861"/>
      <c r="E59" s="862"/>
      <c r="F59" s="863" t="s">
        <v>767</v>
      </c>
      <c r="G59" s="864"/>
      <c r="H59" s="864"/>
      <c r="I59" s="864"/>
      <c r="J59" s="864"/>
      <c r="K59" s="864"/>
      <c r="L59" s="864"/>
      <c r="M59" s="864"/>
      <c r="N59" s="864"/>
      <c r="O59" s="865"/>
      <c r="P59" s="866"/>
      <c r="Q59" s="867"/>
      <c r="R59" s="867"/>
      <c r="S59" s="867"/>
      <c r="T59" s="867"/>
      <c r="U59" s="867"/>
      <c r="V59" s="867"/>
      <c r="W59" s="867"/>
      <c r="X59" s="867"/>
      <c r="Y59" s="867"/>
      <c r="Z59" s="867"/>
      <c r="AA59" s="867"/>
      <c r="AB59" s="867"/>
      <c r="AC59" s="868"/>
      <c r="AD59" s="869" t="s">
        <v>202</v>
      </c>
      <c r="AE59" s="870"/>
      <c r="AF59" s="871"/>
      <c r="AG59" s="872">
        <v>2</v>
      </c>
      <c r="AH59" s="873"/>
      <c r="AI59" s="873"/>
      <c r="AJ59" s="873"/>
      <c r="AK59" s="873"/>
      <c r="AL59" s="874"/>
      <c r="AM59" s="872">
        <v>3290</v>
      </c>
      <c r="AN59" s="873"/>
      <c r="AO59" s="873"/>
      <c r="AP59" s="873"/>
      <c r="AQ59" s="873"/>
      <c r="AR59" s="874"/>
      <c r="AS59" s="875">
        <f t="shared" ref="AS59:AS60" si="45">IF(AM59="","",AG59*AM59)</f>
        <v>6580</v>
      </c>
      <c r="AT59" s="876"/>
      <c r="AU59" s="876"/>
      <c r="AV59" s="876"/>
      <c r="AW59" s="876"/>
      <c r="AX59" s="877"/>
      <c r="AY59" s="875">
        <f t="shared" ref="AY59:AY60" si="46">IF(AM59="","",ROUNDDOWN(AG59*AM59*1.1,0))</f>
        <v>7238</v>
      </c>
      <c r="AZ59" s="876"/>
      <c r="BA59" s="876"/>
      <c r="BB59" s="876"/>
      <c r="BC59" s="876"/>
      <c r="BD59" s="877"/>
      <c r="BE59" s="854" t="str">
        <f t="shared" ref="BE59:BE60" si="47">IF(AS59="","",IF(AS59&gt;=300000,"必要",""))</f>
        <v/>
      </c>
      <c r="BF59" s="855"/>
      <c r="BG59" s="856"/>
      <c r="BH59" s="854" t="str">
        <f t="shared" ref="BH59:BH60" si="48">IF(AS59="","",IF(AS59&gt;=1000000,"必要",""))</f>
        <v/>
      </c>
      <c r="BI59" s="855"/>
      <c r="BJ59" s="856"/>
      <c r="BK59" s="857" t="str">
        <f t="shared" ref="BK59:BK60" si="49">IF(AM59="","",IF(AM59&lt;100000,"×","〇"))</f>
        <v>×</v>
      </c>
      <c r="BL59" s="858"/>
      <c r="BM59" s="859"/>
    </row>
    <row r="60" spans="2:65" ht="32.25" customHeight="1">
      <c r="B60" s="860" t="s">
        <v>730</v>
      </c>
      <c r="C60" s="861"/>
      <c r="D60" s="861"/>
      <c r="E60" s="862"/>
      <c r="F60" s="863" t="s">
        <v>704</v>
      </c>
      <c r="G60" s="864"/>
      <c r="H60" s="864"/>
      <c r="I60" s="864"/>
      <c r="J60" s="864"/>
      <c r="K60" s="864"/>
      <c r="L60" s="864"/>
      <c r="M60" s="864"/>
      <c r="N60" s="864"/>
      <c r="O60" s="865"/>
      <c r="P60" s="866"/>
      <c r="Q60" s="867"/>
      <c r="R60" s="867"/>
      <c r="S60" s="867"/>
      <c r="T60" s="867"/>
      <c r="U60" s="867"/>
      <c r="V60" s="867"/>
      <c r="W60" s="867"/>
      <c r="X60" s="867"/>
      <c r="Y60" s="867"/>
      <c r="Z60" s="867"/>
      <c r="AA60" s="867"/>
      <c r="AB60" s="867"/>
      <c r="AC60" s="868"/>
      <c r="AD60" s="869" t="s">
        <v>202</v>
      </c>
      <c r="AE60" s="870"/>
      <c r="AF60" s="871"/>
      <c r="AG60" s="872"/>
      <c r="AH60" s="873"/>
      <c r="AI60" s="873"/>
      <c r="AJ60" s="873"/>
      <c r="AK60" s="873"/>
      <c r="AL60" s="874"/>
      <c r="AM60" s="872"/>
      <c r="AN60" s="873"/>
      <c r="AO60" s="873"/>
      <c r="AP60" s="873"/>
      <c r="AQ60" s="873"/>
      <c r="AR60" s="874"/>
      <c r="AS60" s="875" t="str">
        <f t="shared" si="45"/>
        <v/>
      </c>
      <c r="AT60" s="876"/>
      <c r="AU60" s="876"/>
      <c r="AV60" s="876"/>
      <c r="AW60" s="876"/>
      <c r="AX60" s="877"/>
      <c r="AY60" s="875" t="str">
        <f t="shared" si="46"/>
        <v/>
      </c>
      <c r="AZ60" s="876"/>
      <c r="BA60" s="876"/>
      <c r="BB60" s="876"/>
      <c r="BC60" s="876"/>
      <c r="BD60" s="877"/>
      <c r="BE60" s="854" t="str">
        <f t="shared" si="47"/>
        <v/>
      </c>
      <c r="BF60" s="855"/>
      <c r="BG60" s="856"/>
      <c r="BH60" s="854" t="str">
        <f t="shared" si="48"/>
        <v/>
      </c>
      <c r="BI60" s="855"/>
      <c r="BJ60" s="856"/>
      <c r="BK60" s="857" t="str">
        <f t="shared" si="49"/>
        <v/>
      </c>
      <c r="BL60" s="858"/>
      <c r="BM60" s="859"/>
    </row>
    <row r="61" spans="2:65" ht="32.25" customHeight="1">
      <c r="B61" s="860" t="s">
        <v>730</v>
      </c>
      <c r="C61" s="861"/>
      <c r="D61" s="861"/>
      <c r="E61" s="862"/>
      <c r="F61" s="863" t="s">
        <v>705</v>
      </c>
      <c r="G61" s="864"/>
      <c r="H61" s="864"/>
      <c r="I61" s="864"/>
      <c r="J61" s="864"/>
      <c r="K61" s="864"/>
      <c r="L61" s="864"/>
      <c r="M61" s="864"/>
      <c r="N61" s="864"/>
      <c r="O61" s="865"/>
      <c r="P61" s="866"/>
      <c r="Q61" s="867"/>
      <c r="R61" s="867"/>
      <c r="S61" s="867"/>
      <c r="T61" s="867"/>
      <c r="U61" s="867"/>
      <c r="V61" s="867"/>
      <c r="W61" s="867"/>
      <c r="X61" s="867"/>
      <c r="Y61" s="867"/>
      <c r="Z61" s="867"/>
      <c r="AA61" s="867"/>
      <c r="AB61" s="867"/>
      <c r="AC61" s="868"/>
      <c r="AD61" s="869" t="s">
        <v>202</v>
      </c>
      <c r="AE61" s="870"/>
      <c r="AF61" s="871"/>
      <c r="AG61" s="872"/>
      <c r="AH61" s="873"/>
      <c r="AI61" s="873"/>
      <c r="AJ61" s="873"/>
      <c r="AK61" s="873"/>
      <c r="AL61" s="874"/>
      <c r="AM61" s="872"/>
      <c r="AN61" s="873"/>
      <c r="AO61" s="873"/>
      <c r="AP61" s="873"/>
      <c r="AQ61" s="873"/>
      <c r="AR61" s="874"/>
      <c r="AS61" s="875" t="str">
        <f t="shared" si="40"/>
        <v/>
      </c>
      <c r="AT61" s="876"/>
      <c r="AU61" s="876"/>
      <c r="AV61" s="876"/>
      <c r="AW61" s="876"/>
      <c r="AX61" s="877"/>
      <c r="AY61" s="875" t="str">
        <f t="shared" si="41"/>
        <v/>
      </c>
      <c r="AZ61" s="876"/>
      <c r="BA61" s="876"/>
      <c r="BB61" s="876"/>
      <c r="BC61" s="876"/>
      <c r="BD61" s="877"/>
      <c r="BE61" s="854" t="str">
        <f t="shared" si="42"/>
        <v/>
      </c>
      <c r="BF61" s="855"/>
      <c r="BG61" s="856"/>
      <c r="BH61" s="854" t="str">
        <f t="shared" si="43"/>
        <v/>
      </c>
      <c r="BI61" s="855"/>
      <c r="BJ61" s="856"/>
      <c r="BK61" s="857" t="str">
        <f t="shared" si="44"/>
        <v/>
      </c>
      <c r="BL61" s="858"/>
      <c r="BM61" s="859"/>
    </row>
    <row r="62" spans="2:65" ht="32.25" customHeight="1">
      <c r="B62" s="860" t="s">
        <v>730</v>
      </c>
      <c r="C62" s="861"/>
      <c r="D62" s="861"/>
      <c r="E62" s="862"/>
      <c r="F62" s="863"/>
      <c r="G62" s="864"/>
      <c r="H62" s="864"/>
      <c r="I62" s="864"/>
      <c r="J62" s="864"/>
      <c r="K62" s="864"/>
      <c r="L62" s="864"/>
      <c r="M62" s="864"/>
      <c r="N62" s="864"/>
      <c r="O62" s="865"/>
      <c r="P62" s="866"/>
      <c r="Q62" s="867"/>
      <c r="R62" s="867"/>
      <c r="S62" s="867"/>
      <c r="T62" s="867"/>
      <c r="U62" s="867"/>
      <c r="V62" s="867"/>
      <c r="W62" s="867"/>
      <c r="X62" s="867"/>
      <c r="Y62" s="867"/>
      <c r="Z62" s="867"/>
      <c r="AA62" s="867"/>
      <c r="AB62" s="867"/>
      <c r="AC62" s="868"/>
      <c r="AD62" s="869" t="s">
        <v>202</v>
      </c>
      <c r="AE62" s="870"/>
      <c r="AF62" s="871"/>
      <c r="AG62" s="872"/>
      <c r="AH62" s="873"/>
      <c r="AI62" s="873"/>
      <c r="AJ62" s="873"/>
      <c r="AK62" s="873"/>
      <c r="AL62" s="874"/>
      <c r="AM62" s="872"/>
      <c r="AN62" s="873"/>
      <c r="AO62" s="873"/>
      <c r="AP62" s="873"/>
      <c r="AQ62" s="873"/>
      <c r="AR62" s="874"/>
      <c r="AS62" s="875" t="str">
        <f t="shared" si="0"/>
        <v/>
      </c>
      <c r="AT62" s="876"/>
      <c r="AU62" s="876"/>
      <c r="AV62" s="876"/>
      <c r="AW62" s="876"/>
      <c r="AX62" s="877"/>
      <c r="AY62" s="875" t="str">
        <f t="shared" si="1"/>
        <v/>
      </c>
      <c r="AZ62" s="876"/>
      <c r="BA62" s="876"/>
      <c r="BB62" s="876"/>
      <c r="BC62" s="876"/>
      <c r="BD62" s="877"/>
      <c r="BE62" s="854" t="str">
        <f t="shared" si="2"/>
        <v/>
      </c>
      <c r="BF62" s="855"/>
      <c r="BG62" s="856"/>
      <c r="BH62" s="854" t="str">
        <f t="shared" si="3"/>
        <v/>
      </c>
      <c r="BI62" s="855"/>
      <c r="BJ62" s="856"/>
      <c r="BK62" s="857" t="str">
        <f t="shared" si="4"/>
        <v/>
      </c>
      <c r="BL62" s="858"/>
      <c r="BM62" s="859"/>
    </row>
    <row r="63" spans="2:65" ht="32.25" customHeight="1">
      <c r="B63" s="880" t="s">
        <v>731</v>
      </c>
      <c r="C63" s="881"/>
      <c r="D63" s="881"/>
      <c r="E63" s="881"/>
      <c r="F63" s="882" t="s">
        <v>738</v>
      </c>
      <c r="G63" s="882"/>
      <c r="H63" s="882"/>
      <c r="I63" s="882"/>
      <c r="J63" s="882"/>
      <c r="K63" s="882"/>
      <c r="L63" s="882"/>
      <c r="M63" s="882"/>
      <c r="N63" s="882"/>
      <c r="O63" s="882"/>
      <c r="P63" s="883" t="s">
        <v>739</v>
      </c>
      <c r="Q63" s="883"/>
      <c r="R63" s="883"/>
      <c r="S63" s="883"/>
      <c r="T63" s="883"/>
      <c r="U63" s="883"/>
      <c r="V63" s="883"/>
      <c r="W63" s="883"/>
      <c r="X63" s="883"/>
      <c r="Y63" s="883"/>
      <c r="Z63" s="883"/>
      <c r="AA63" s="883"/>
      <c r="AB63" s="883"/>
      <c r="AC63" s="883"/>
      <c r="AD63" s="884" t="s">
        <v>202</v>
      </c>
      <c r="AE63" s="884"/>
      <c r="AF63" s="884"/>
      <c r="AG63" s="885">
        <v>25</v>
      </c>
      <c r="AH63" s="885"/>
      <c r="AI63" s="885"/>
      <c r="AJ63" s="885"/>
      <c r="AK63" s="885"/>
      <c r="AL63" s="885"/>
      <c r="AM63" s="885">
        <v>17787</v>
      </c>
      <c r="AN63" s="885"/>
      <c r="AO63" s="885"/>
      <c r="AP63" s="885"/>
      <c r="AQ63" s="885"/>
      <c r="AR63" s="885"/>
      <c r="AS63" s="886">
        <f t="shared" si="0"/>
        <v>444675</v>
      </c>
      <c r="AT63" s="886"/>
      <c r="AU63" s="886"/>
      <c r="AV63" s="886"/>
      <c r="AW63" s="886"/>
      <c r="AX63" s="886"/>
      <c r="AY63" s="886">
        <f t="shared" si="1"/>
        <v>489142</v>
      </c>
      <c r="AZ63" s="886"/>
      <c r="BA63" s="886"/>
      <c r="BB63" s="886"/>
      <c r="BC63" s="886"/>
      <c r="BD63" s="886"/>
      <c r="BE63" s="878" t="str">
        <f t="shared" si="2"/>
        <v>必要</v>
      </c>
      <c r="BF63" s="878"/>
      <c r="BG63" s="878"/>
      <c r="BH63" s="878" t="str">
        <f t="shared" si="3"/>
        <v/>
      </c>
      <c r="BI63" s="878"/>
      <c r="BJ63" s="878"/>
      <c r="BK63" s="879" t="str">
        <f t="shared" si="4"/>
        <v>×</v>
      </c>
      <c r="BL63" s="879"/>
      <c r="BM63" s="879"/>
    </row>
    <row r="64" spans="2:65" ht="32.25" customHeight="1">
      <c r="B64" s="880" t="s">
        <v>732</v>
      </c>
      <c r="C64" s="881"/>
      <c r="D64" s="881"/>
      <c r="E64" s="881"/>
      <c r="F64" s="882" t="s">
        <v>737</v>
      </c>
      <c r="G64" s="882"/>
      <c r="H64" s="882"/>
      <c r="I64" s="882"/>
      <c r="J64" s="882"/>
      <c r="K64" s="882"/>
      <c r="L64" s="882"/>
      <c r="M64" s="882"/>
      <c r="N64" s="882"/>
      <c r="O64" s="882"/>
      <c r="P64" s="883" t="s">
        <v>739</v>
      </c>
      <c r="Q64" s="883"/>
      <c r="R64" s="883"/>
      <c r="S64" s="883"/>
      <c r="T64" s="883"/>
      <c r="U64" s="883"/>
      <c r="V64" s="883"/>
      <c r="W64" s="883"/>
      <c r="X64" s="883"/>
      <c r="Y64" s="883"/>
      <c r="Z64" s="883"/>
      <c r="AA64" s="883"/>
      <c r="AB64" s="883"/>
      <c r="AC64" s="883"/>
      <c r="AD64" s="884" t="s">
        <v>202</v>
      </c>
      <c r="AE64" s="884"/>
      <c r="AF64" s="884"/>
      <c r="AG64" s="885">
        <v>10</v>
      </c>
      <c r="AH64" s="885"/>
      <c r="AI64" s="885"/>
      <c r="AJ64" s="885"/>
      <c r="AK64" s="885"/>
      <c r="AL64" s="885"/>
      <c r="AM64" s="885">
        <v>40029</v>
      </c>
      <c r="AN64" s="885"/>
      <c r="AO64" s="885"/>
      <c r="AP64" s="885"/>
      <c r="AQ64" s="885"/>
      <c r="AR64" s="885"/>
      <c r="AS64" s="886">
        <f t="shared" si="0"/>
        <v>400290</v>
      </c>
      <c r="AT64" s="886"/>
      <c r="AU64" s="886"/>
      <c r="AV64" s="886"/>
      <c r="AW64" s="886"/>
      <c r="AX64" s="886"/>
      <c r="AY64" s="886">
        <f t="shared" si="1"/>
        <v>440319</v>
      </c>
      <c r="AZ64" s="886"/>
      <c r="BA64" s="886"/>
      <c r="BB64" s="886"/>
      <c r="BC64" s="886"/>
      <c r="BD64" s="886"/>
      <c r="BE64" s="878" t="str">
        <f t="shared" si="2"/>
        <v>必要</v>
      </c>
      <c r="BF64" s="878"/>
      <c r="BG64" s="878"/>
      <c r="BH64" s="878" t="str">
        <f t="shared" si="3"/>
        <v/>
      </c>
      <c r="BI64" s="878"/>
      <c r="BJ64" s="878"/>
      <c r="BK64" s="879" t="str">
        <f t="shared" si="4"/>
        <v>×</v>
      </c>
      <c r="BL64" s="879"/>
      <c r="BM64" s="879"/>
    </row>
    <row r="65" spans="39:56" ht="31.5" customHeight="1">
      <c r="AM65" s="887" t="s">
        <v>34</v>
      </c>
      <c r="AN65" s="887"/>
      <c r="AO65" s="887"/>
      <c r="AP65" s="887"/>
      <c r="AQ65" s="887"/>
      <c r="AR65" s="888"/>
      <c r="AS65" s="889">
        <f>SUM(AS10:AX64)</f>
        <v>1871785</v>
      </c>
      <c r="AT65" s="889"/>
      <c r="AU65" s="889"/>
      <c r="AV65" s="889"/>
      <c r="AW65" s="889"/>
      <c r="AX65" s="889"/>
      <c r="AY65" s="889">
        <f>SUM(AY10:BD64)</f>
        <v>2058963</v>
      </c>
      <c r="AZ65" s="889"/>
      <c r="BA65" s="889"/>
      <c r="BB65" s="889"/>
      <c r="BC65" s="889"/>
      <c r="BD65" s="889"/>
    </row>
  </sheetData>
  <mergeCells count="631">
    <mergeCell ref="AM7:AR7"/>
    <mergeCell ref="AS7:AX7"/>
    <mergeCell ref="AY7:BD7"/>
    <mergeCell ref="B8:E8"/>
    <mergeCell ref="F8:O8"/>
    <mergeCell ref="P8:AC8"/>
    <mergeCell ref="AD8:AF8"/>
    <mergeCell ref="AG8:AL8"/>
    <mergeCell ref="AM8:AR8"/>
    <mergeCell ref="AS8:AX8"/>
    <mergeCell ref="AY8:BD8"/>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F11:O11"/>
    <mergeCell ref="P11:AC11"/>
    <mergeCell ref="AD11:AF11"/>
    <mergeCell ref="AG11:AL11"/>
    <mergeCell ref="AM11:AR11"/>
    <mergeCell ref="B10:E10"/>
    <mergeCell ref="F10:O10"/>
    <mergeCell ref="P10:AC10"/>
    <mergeCell ref="AD10:AF10"/>
    <mergeCell ref="AG10:AL10"/>
    <mergeCell ref="AM10:AR10"/>
    <mergeCell ref="AS10:AX10"/>
    <mergeCell ref="AY12:BD12"/>
    <mergeCell ref="BE12:BG12"/>
    <mergeCell ref="BH12:BJ12"/>
    <mergeCell ref="BK12:BM12"/>
    <mergeCell ref="AS11:AX11"/>
    <mergeCell ref="AY11:BD11"/>
    <mergeCell ref="BE11:BG11"/>
    <mergeCell ref="BH11:BJ11"/>
    <mergeCell ref="BK11:BM11"/>
    <mergeCell ref="B14:E14"/>
    <mergeCell ref="F14:O14"/>
    <mergeCell ref="P14:AC14"/>
    <mergeCell ref="AD14:AF14"/>
    <mergeCell ref="AG14:AL14"/>
    <mergeCell ref="B13:E13"/>
    <mergeCell ref="F13:O13"/>
    <mergeCell ref="P13:AC13"/>
    <mergeCell ref="AD13:AF13"/>
    <mergeCell ref="AG13:AL13"/>
    <mergeCell ref="AM14:AR14"/>
    <mergeCell ref="AS14:AX14"/>
    <mergeCell ref="AY14:BD14"/>
    <mergeCell ref="BE14:BG14"/>
    <mergeCell ref="BH14:BJ14"/>
    <mergeCell ref="BK14:BM14"/>
    <mergeCell ref="AS13:AX13"/>
    <mergeCell ref="AY13:BD13"/>
    <mergeCell ref="BE13:BG13"/>
    <mergeCell ref="BH13:BJ13"/>
    <mergeCell ref="BK13:BM13"/>
    <mergeCell ref="AM13:AR13"/>
    <mergeCell ref="B16:E16"/>
    <mergeCell ref="F16:O16"/>
    <mergeCell ref="P16:AC16"/>
    <mergeCell ref="AD16:AF16"/>
    <mergeCell ref="AG16:AL16"/>
    <mergeCell ref="B15:E15"/>
    <mergeCell ref="F15:O15"/>
    <mergeCell ref="P15:AC15"/>
    <mergeCell ref="AD15:AF15"/>
    <mergeCell ref="AG15:AL15"/>
    <mergeCell ref="AM16:AR16"/>
    <mergeCell ref="AS16:AX16"/>
    <mergeCell ref="AY16:BD16"/>
    <mergeCell ref="BE16:BG16"/>
    <mergeCell ref="BH16:BJ16"/>
    <mergeCell ref="BK16:BM16"/>
    <mergeCell ref="AS15:AX15"/>
    <mergeCell ref="AY15:BD15"/>
    <mergeCell ref="BE15:BG15"/>
    <mergeCell ref="BH15:BJ15"/>
    <mergeCell ref="BK15:BM15"/>
    <mergeCell ref="AM15:AR15"/>
    <mergeCell ref="B18:E18"/>
    <mergeCell ref="F18:O18"/>
    <mergeCell ref="P18:AC18"/>
    <mergeCell ref="AD18:AF18"/>
    <mergeCell ref="AG18:AL18"/>
    <mergeCell ref="B17:E17"/>
    <mergeCell ref="F17:O17"/>
    <mergeCell ref="P17:AC17"/>
    <mergeCell ref="AD17:AF17"/>
    <mergeCell ref="AG17:AL17"/>
    <mergeCell ref="AM18:AR18"/>
    <mergeCell ref="AS18:AX18"/>
    <mergeCell ref="AY18:BD18"/>
    <mergeCell ref="BE18:BG18"/>
    <mergeCell ref="BH18:BJ18"/>
    <mergeCell ref="BK18:BM18"/>
    <mergeCell ref="AS17:AX17"/>
    <mergeCell ref="AY17:BD17"/>
    <mergeCell ref="BE17:BG17"/>
    <mergeCell ref="BH17:BJ17"/>
    <mergeCell ref="BK17:BM17"/>
    <mergeCell ref="AM17:AR17"/>
    <mergeCell ref="B20:E20"/>
    <mergeCell ref="F20:O20"/>
    <mergeCell ref="P20:AC20"/>
    <mergeCell ref="AD20:AF20"/>
    <mergeCell ref="AG20:AL20"/>
    <mergeCell ref="B19:E19"/>
    <mergeCell ref="F19:O19"/>
    <mergeCell ref="P19:AC19"/>
    <mergeCell ref="AD19:AF19"/>
    <mergeCell ref="AG19:AL19"/>
    <mergeCell ref="AM20:AR20"/>
    <mergeCell ref="AS20:AX20"/>
    <mergeCell ref="AY20:BD20"/>
    <mergeCell ref="BE20:BG20"/>
    <mergeCell ref="BH20:BJ20"/>
    <mergeCell ref="BK20:BM20"/>
    <mergeCell ref="AS19:AX19"/>
    <mergeCell ref="AY19:BD19"/>
    <mergeCell ref="BE19:BG19"/>
    <mergeCell ref="BH19:BJ19"/>
    <mergeCell ref="BK19:BM19"/>
    <mergeCell ref="AM19:AR19"/>
    <mergeCell ref="B62:E62"/>
    <mergeCell ref="F62:O62"/>
    <mergeCell ref="P62:AC62"/>
    <mergeCell ref="AD62:AF62"/>
    <mergeCell ref="AG62:AL62"/>
    <mergeCell ref="B30:E30"/>
    <mergeCell ref="F30:O30"/>
    <mergeCell ref="P30:AC30"/>
    <mergeCell ref="AD30:AF30"/>
    <mergeCell ref="AG30:AL30"/>
    <mergeCell ref="B58:E58"/>
    <mergeCell ref="F58:O58"/>
    <mergeCell ref="P58:AC58"/>
    <mergeCell ref="AD58:AF58"/>
    <mergeCell ref="AG58:AL58"/>
    <mergeCell ref="B35:E35"/>
    <mergeCell ref="F35:O35"/>
    <mergeCell ref="P35:AC35"/>
    <mergeCell ref="AD35:AF35"/>
    <mergeCell ref="AG35:AL35"/>
    <mergeCell ref="B57:E57"/>
    <mergeCell ref="F57:O57"/>
    <mergeCell ref="P57:AC57"/>
    <mergeCell ref="AD57:AF57"/>
    <mergeCell ref="AM62:AR62"/>
    <mergeCell ref="AS62:AX62"/>
    <mergeCell ref="AY62:BD62"/>
    <mergeCell ref="BE62:BG62"/>
    <mergeCell ref="BH62:BJ62"/>
    <mergeCell ref="BK62:BM62"/>
    <mergeCell ref="AS30:AX30"/>
    <mergeCell ref="AY30:BD30"/>
    <mergeCell ref="BE30:BG30"/>
    <mergeCell ref="BH30:BJ30"/>
    <mergeCell ref="BK30:BM30"/>
    <mergeCell ref="AM30:AR30"/>
    <mergeCell ref="AM58:AR58"/>
    <mergeCell ref="AS58:AX58"/>
    <mergeCell ref="AY58:BD58"/>
    <mergeCell ref="BE58:BG58"/>
    <mergeCell ref="BH58:BJ58"/>
    <mergeCell ref="BK58:BM58"/>
    <mergeCell ref="AM35:AR35"/>
    <mergeCell ref="AS35:AX35"/>
    <mergeCell ref="AY35:BD35"/>
    <mergeCell ref="BE35:BG35"/>
    <mergeCell ref="BH35:BJ35"/>
    <mergeCell ref="BK35:BM35"/>
    <mergeCell ref="AS63:AX63"/>
    <mergeCell ref="AY63:BD63"/>
    <mergeCell ref="BE63:BG63"/>
    <mergeCell ref="BH63:BJ63"/>
    <mergeCell ref="BK63:BM63"/>
    <mergeCell ref="B64:E64"/>
    <mergeCell ref="F64:O64"/>
    <mergeCell ref="P64:AC64"/>
    <mergeCell ref="AD64:AF64"/>
    <mergeCell ref="AG64:AL64"/>
    <mergeCell ref="B63:E63"/>
    <mergeCell ref="F63:O63"/>
    <mergeCell ref="P63:AC63"/>
    <mergeCell ref="AD63:AF63"/>
    <mergeCell ref="AG63:AL63"/>
    <mergeCell ref="AM63:AR63"/>
    <mergeCell ref="AM65:AR65"/>
    <mergeCell ref="AS65:AX65"/>
    <mergeCell ref="AY65:BD65"/>
    <mergeCell ref="AM64:AR64"/>
    <mergeCell ref="AS64:AX64"/>
    <mergeCell ref="AY64:BD64"/>
    <mergeCell ref="BE64:BG64"/>
    <mergeCell ref="BH64:BJ64"/>
    <mergeCell ref="BK64:BM64"/>
    <mergeCell ref="BH21:BJ21"/>
    <mergeCell ref="BK21:BM21"/>
    <mergeCell ref="B22:E22"/>
    <mergeCell ref="F22:O22"/>
    <mergeCell ref="P22:AC22"/>
    <mergeCell ref="AD22:AF22"/>
    <mergeCell ref="AG22:AL22"/>
    <mergeCell ref="AM22:AR22"/>
    <mergeCell ref="AS22:AX22"/>
    <mergeCell ref="AY22:BD22"/>
    <mergeCell ref="BE22:BG22"/>
    <mergeCell ref="BH22:BJ22"/>
    <mergeCell ref="BK22:BM22"/>
    <mergeCell ref="B21:E21"/>
    <mergeCell ref="F21:O21"/>
    <mergeCell ref="P21:AC21"/>
    <mergeCell ref="AD21:AF21"/>
    <mergeCell ref="AG21:AL21"/>
    <mergeCell ref="AM21:AR21"/>
    <mergeCell ref="AS21:AX21"/>
    <mergeCell ref="AY21:BD21"/>
    <mergeCell ref="BE21:BG21"/>
    <mergeCell ref="B23:E23"/>
    <mergeCell ref="F23:O23"/>
    <mergeCell ref="P23:AC23"/>
    <mergeCell ref="AD23:AF23"/>
    <mergeCell ref="AG23:AL23"/>
    <mergeCell ref="AM23:AR23"/>
    <mergeCell ref="AS23:AX23"/>
    <mergeCell ref="AY23:BD23"/>
    <mergeCell ref="BE23:BG23"/>
    <mergeCell ref="BH23:BJ23"/>
    <mergeCell ref="BK23:BM23"/>
    <mergeCell ref="B29:E29"/>
    <mergeCell ref="F29:O29"/>
    <mergeCell ref="P29:AC29"/>
    <mergeCell ref="AD29:AF29"/>
    <mergeCell ref="AG29:AL29"/>
    <mergeCell ref="AM29:AR29"/>
    <mergeCell ref="AS29:AX29"/>
    <mergeCell ref="AY29:BD29"/>
    <mergeCell ref="BE29:BG29"/>
    <mergeCell ref="BH29:BJ29"/>
    <mergeCell ref="BK29:BM29"/>
    <mergeCell ref="B24:E24"/>
    <mergeCell ref="F24:O24"/>
    <mergeCell ref="P24:AC24"/>
    <mergeCell ref="AD24:AF24"/>
    <mergeCell ref="AG24:AL24"/>
    <mergeCell ref="AM24:AR24"/>
    <mergeCell ref="AS24:AX24"/>
    <mergeCell ref="AY24:BD24"/>
    <mergeCell ref="BE24:BG24"/>
    <mergeCell ref="BH24:BJ24"/>
    <mergeCell ref="BK24:BM24"/>
    <mergeCell ref="BH25:BJ25"/>
    <mergeCell ref="BK25:BM25"/>
    <mergeCell ref="B26:E26"/>
    <mergeCell ref="F26:O26"/>
    <mergeCell ref="P26:AC26"/>
    <mergeCell ref="AD26:AF26"/>
    <mergeCell ref="AG26:AL26"/>
    <mergeCell ref="AM26:AR26"/>
    <mergeCell ref="AS26:AX26"/>
    <mergeCell ref="AY26:BD26"/>
    <mergeCell ref="BE26:BG26"/>
    <mergeCell ref="BH26:BJ26"/>
    <mergeCell ref="BK26:BM26"/>
    <mergeCell ref="B25:E25"/>
    <mergeCell ref="F25:O25"/>
    <mergeCell ref="P25:AC25"/>
    <mergeCell ref="AD25:AF25"/>
    <mergeCell ref="AG25:AL25"/>
    <mergeCell ref="AM25:AR25"/>
    <mergeCell ref="AS25:AX25"/>
    <mergeCell ref="AY25:BD25"/>
    <mergeCell ref="BE25:BG25"/>
    <mergeCell ref="BH27:BJ27"/>
    <mergeCell ref="BK27:BM27"/>
    <mergeCell ref="B28:E28"/>
    <mergeCell ref="F28:O28"/>
    <mergeCell ref="P28:AC28"/>
    <mergeCell ref="AD28:AF28"/>
    <mergeCell ref="AG28:AL28"/>
    <mergeCell ref="AM28:AR28"/>
    <mergeCell ref="AS28:AX28"/>
    <mergeCell ref="AY28:BD28"/>
    <mergeCell ref="BE28:BG28"/>
    <mergeCell ref="BH28:BJ28"/>
    <mergeCell ref="BK28:BM28"/>
    <mergeCell ref="B27:E27"/>
    <mergeCell ref="F27:O27"/>
    <mergeCell ref="P27:AC27"/>
    <mergeCell ref="AD27:AF27"/>
    <mergeCell ref="AG27:AL27"/>
    <mergeCell ref="AM27:AR27"/>
    <mergeCell ref="AS27:AX27"/>
    <mergeCell ref="AY27:BD27"/>
    <mergeCell ref="BE27:BG27"/>
    <mergeCell ref="AG57:AL57"/>
    <mergeCell ref="AM57:AR57"/>
    <mergeCell ref="AS57:AX57"/>
    <mergeCell ref="AY57:BD57"/>
    <mergeCell ref="BE57:BG57"/>
    <mergeCell ref="BH57:BJ57"/>
    <mergeCell ref="BK57:BM57"/>
    <mergeCell ref="B31:E31"/>
    <mergeCell ref="F31:O31"/>
    <mergeCell ref="P31:AC31"/>
    <mergeCell ref="AD31:AF31"/>
    <mergeCell ref="AG31:AL31"/>
    <mergeCell ref="AM31:AR31"/>
    <mergeCell ref="AS31:AX31"/>
    <mergeCell ref="AY31:BD31"/>
    <mergeCell ref="BE31:BG31"/>
    <mergeCell ref="BH31:BJ31"/>
    <mergeCell ref="BK31:BM31"/>
    <mergeCell ref="B32:E32"/>
    <mergeCell ref="F32:O32"/>
    <mergeCell ref="P32:AC32"/>
    <mergeCell ref="AD32:AF32"/>
    <mergeCell ref="AG32:AL32"/>
    <mergeCell ref="AM32:AR32"/>
    <mergeCell ref="AS32:AX32"/>
    <mergeCell ref="AY32:BD32"/>
    <mergeCell ref="BE32:BG32"/>
    <mergeCell ref="BH32:BJ32"/>
    <mergeCell ref="BK32:BM32"/>
    <mergeCell ref="B33:E33"/>
    <mergeCell ref="F33:O33"/>
    <mergeCell ref="P33:AC33"/>
    <mergeCell ref="AD33:AF33"/>
    <mergeCell ref="AG33:AL33"/>
    <mergeCell ref="AM33:AR33"/>
    <mergeCell ref="AS33:AX33"/>
    <mergeCell ref="AY33:BD33"/>
    <mergeCell ref="BE33:BG33"/>
    <mergeCell ref="BH33:BJ33"/>
    <mergeCell ref="BK33:BM33"/>
    <mergeCell ref="B34:E34"/>
    <mergeCell ref="F34:O34"/>
    <mergeCell ref="P34:AC34"/>
    <mergeCell ref="AD34:AF34"/>
    <mergeCell ref="AG34:AL34"/>
    <mergeCell ref="AM34:AR34"/>
    <mergeCell ref="AS34:AX34"/>
    <mergeCell ref="AY34:BD34"/>
    <mergeCell ref="BE34:BG34"/>
    <mergeCell ref="BH34:BJ34"/>
    <mergeCell ref="BK34:BM34"/>
    <mergeCell ref="B54:E54"/>
    <mergeCell ref="F54:O54"/>
    <mergeCell ref="P54:AC54"/>
    <mergeCell ref="AD54:AF54"/>
    <mergeCell ref="AG54:AL54"/>
    <mergeCell ref="AM54:AR54"/>
    <mergeCell ref="AS54:AX54"/>
    <mergeCell ref="AY54:BD54"/>
    <mergeCell ref="BE54:BG54"/>
    <mergeCell ref="BH54:BJ54"/>
    <mergeCell ref="BK54:BM54"/>
    <mergeCell ref="B48:E48"/>
    <mergeCell ref="F48:O48"/>
    <mergeCell ref="P48:AC48"/>
    <mergeCell ref="AD48:AF48"/>
    <mergeCell ref="AG48:AL48"/>
    <mergeCell ref="AM48:AR48"/>
    <mergeCell ref="AS48:AX48"/>
    <mergeCell ref="AY48:BD48"/>
    <mergeCell ref="BE48:BG48"/>
    <mergeCell ref="BH48:BJ48"/>
    <mergeCell ref="BK48:BM48"/>
    <mergeCell ref="BH55:BJ55"/>
    <mergeCell ref="BK55:BM55"/>
    <mergeCell ref="B56:E56"/>
    <mergeCell ref="F56:O56"/>
    <mergeCell ref="P56:AC56"/>
    <mergeCell ref="AD56:AF56"/>
    <mergeCell ref="AG56:AL56"/>
    <mergeCell ref="AM56:AR56"/>
    <mergeCell ref="AS56:AX56"/>
    <mergeCell ref="AY56:BD56"/>
    <mergeCell ref="BE56:BG56"/>
    <mergeCell ref="BH56:BJ56"/>
    <mergeCell ref="BK56:BM56"/>
    <mergeCell ref="B55:E55"/>
    <mergeCell ref="F55:O55"/>
    <mergeCell ref="P55:AC55"/>
    <mergeCell ref="AD55:AF55"/>
    <mergeCell ref="AG55:AL55"/>
    <mergeCell ref="AM55:AR55"/>
    <mergeCell ref="AS55:AX55"/>
    <mergeCell ref="AY55:BD55"/>
    <mergeCell ref="BE55:BG55"/>
    <mergeCell ref="BH49:BJ49"/>
    <mergeCell ref="BK49:BM49"/>
    <mergeCell ref="B50:E50"/>
    <mergeCell ref="F50:O50"/>
    <mergeCell ref="P50:AC50"/>
    <mergeCell ref="AD50:AF50"/>
    <mergeCell ref="AG50:AL50"/>
    <mergeCell ref="AM50:AR50"/>
    <mergeCell ref="AS50:AX50"/>
    <mergeCell ref="AY50:BD50"/>
    <mergeCell ref="BE50:BG50"/>
    <mergeCell ref="BH50:BJ50"/>
    <mergeCell ref="BK50:BM50"/>
    <mergeCell ref="B49:E49"/>
    <mergeCell ref="F49:O49"/>
    <mergeCell ref="P49:AC49"/>
    <mergeCell ref="AD49:AF49"/>
    <mergeCell ref="AG49:AL49"/>
    <mergeCell ref="AM49:AR49"/>
    <mergeCell ref="AS49:AX49"/>
    <mergeCell ref="AY49:BD49"/>
    <mergeCell ref="BE49:BG49"/>
    <mergeCell ref="BH51:BJ51"/>
    <mergeCell ref="BK51:BM51"/>
    <mergeCell ref="B52:E52"/>
    <mergeCell ref="F52:O52"/>
    <mergeCell ref="P52:AC52"/>
    <mergeCell ref="AD52:AF52"/>
    <mergeCell ref="AG52:AL52"/>
    <mergeCell ref="AM52:AR52"/>
    <mergeCell ref="AS52:AX52"/>
    <mergeCell ref="AY52:BD52"/>
    <mergeCell ref="BE52:BG52"/>
    <mergeCell ref="BH52:BJ52"/>
    <mergeCell ref="BK52:BM52"/>
    <mergeCell ref="B51:E51"/>
    <mergeCell ref="F51:O51"/>
    <mergeCell ref="P51:AC51"/>
    <mergeCell ref="AD51:AF51"/>
    <mergeCell ref="AG51:AL51"/>
    <mergeCell ref="AM51:AR51"/>
    <mergeCell ref="AS51:AX51"/>
    <mergeCell ref="AY51:BD51"/>
    <mergeCell ref="BE51:BG51"/>
    <mergeCell ref="B53:E53"/>
    <mergeCell ref="F53:O53"/>
    <mergeCell ref="P53:AC53"/>
    <mergeCell ref="AD53:AF53"/>
    <mergeCell ref="AG53:AL53"/>
    <mergeCell ref="AM53:AR53"/>
    <mergeCell ref="AS53:AX53"/>
    <mergeCell ref="AY53:BD53"/>
    <mergeCell ref="BE53:BG53"/>
    <mergeCell ref="BH53:BJ53"/>
    <mergeCell ref="BK53:BM53"/>
    <mergeCell ref="B36:E36"/>
    <mergeCell ref="F36:O36"/>
    <mergeCell ref="P36:AC36"/>
    <mergeCell ref="AD36:AF36"/>
    <mergeCell ref="AG36:AL36"/>
    <mergeCell ref="AM36:AR36"/>
    <mergeCell ref="AS36:AX36"/>
    <mergeCell ref="AY36:BD36"/>
    <mergeCell ref="BE36:BG36"/>
    <mergeCell ref="BH36:BJ36"/>
    <mergeCell ref="BK36:BM36"/>
    <mergeCell ref="B37:E37"/>
    <mergeCell ref="F37:O37"/>
    <mergeCell ref="P37:AC37"/>
    <mergeCell ref="AD37:AF37"/>
    <mergeCell ref="AG37:AL37"/>
    <mergeCell ref="AM37:AR37"/>
    <mergeCell ref="AS37:AX37"/>
    <mergeCell ref="AY37:BD37"/>
    <mergeCell ref="BE37:BG37"/>
    <mergeCell ref="BH37:BJ37"/>
    <mergeCell ref="BK37:BM37"/>
    <mergeCell ref="BH38:BJ38"/>
    <mergeCell ref="BK38:BM38"/>
    <mergeCell ref="B39:E39"/>
    <mergeCell ref="F39:O39"/>
    <mergeCell ref="P39:AC39"/>
    <mergeCell ref="AD39:AF39"/>
    <mergeCell ref="AG39:AL39"/>
    <mergeCell ref="AM39:AR39"/>
    <mergeCell ref="AS39:AX39"/>
    <mergeCell ref="AY39:BD39"/>
    <mergeCell ref="BE39:BG39"/>
    <mergeCell ref="BH39:BJ39"/>
    <mergeCell ref="BK39:BM39"/>
    <mergeCell ref="B38:E38"/>
    <mergeCell ref="F38:O38"/>
    <mergeCell ref="P38:AC38"/>
    <mergeCell ref="AD38:AF38"/>
    <mergeCell ref="AG38:AL38"/>
    <mergeCell ref="AM38:AR38"/>
    <mergeCell ref="AS38:AX38"/>
    <mergeCell ref="AY38:BD38"/>
    <mergeCell ref="BE38:BG38"/>
    <mergeCell ref="BH40:BJ40"/>
    <mergeCell ref="BK40:BM40"/>
    <mergeCell ref="B41:E41"/>
    <mergeCell ref="F41:O41"/>
    <mergeCell ref="P41:AC41"/>
    <mergeCell ref="AD41:AF41"/>
    <mergeCell ref="AG41:AL41"/>
    <mergeCell ref="AM41:AR41"/>
    <mergeCell ref="AS41:AX41"/>
    <mergeCell ref="AY41:BD41"/>
    <mergeCell ref="BE41:BG41"/>
    <mergeCell ref="BH41:BJ41"/>
    <mergeCell ref="BK41:BM41"/>
    <mergeCell ref="B40:E40"/>
    <mergeCell ref="F40:O40"/>
    <mergeCell ref="P40:AC40"/>
    <mergeCell ref="AD40:AF40"/>
    <mergeCell ref="AG40:AL40"/>
    <mergeCell ref="AM40:AR40"/>
    <mergeCell ref="AS40:AX40"/>
    <mergeCell ref="AY40:BD40"/>
    <mergeCell ref="BE40:BG40"/>
    <mergeCell ref="BH42:BJ42"/>
    <mergeCell ref="BK42:BM42"/>
    <mergeCell ref="B43:E43"/>
    <mergeCell ref="F43:O43"/>
    <mergeCell ref="P43:AC43"/>
    <mergeCell ref="AD43:AF43"/>
    <mergeCell ref="AG43:AL43"/>
    <mergeCell ref="AM43:AR43"/>
    <mergeCell ref="AS43:AX43"/>
    <mergeCell ref="AY43:BD43"/>
    <mergeCell ref="BE43:BG43"/>
    <mergeCell ref="BH43:BJ43"/>
    <mergeCell ref="BK43:BM43"/>
    <mergeCell ref="B42:E42"/>
    <mergeCell ref="F42:O42"/>
    <mergeCell ref="P42:AC42"/>
    <mergeCell ref="AD42:AF42"/>
    <mergeCell ref="AG42:AL42"/>
    <mergeCell ref="AM42:AR42"/>
    <mergeCell ref="AS42:AX42"/>
    <mergeCell ref="AY42:BD42"/>
    <mergeCell ref="BE42:BG42"/>
    <mergeCell ref="BH44:BJ44"/>
    <mergeCell ref="BK44:BM44"/>
    <mergeCell ref="B45:E45"/>
    <mergeCell ref="F45:O45"/>
    <mergeCell ref="P45:AC45"/>
    <mergeCell ref="AD45:AF45"/>
    <mergeCell ref="AG45:AL45"/>
    <mergeCell ref="AM45:AR45"/>
    <mergeCell ref="AS45:AX45"/>
    <mergeCell ref="AY45:BD45"/>
    <mergeCell ref="BE45:BG45"/>
    <mergeCell ref="BH45:BJ45"/>
    <mergeCell ref="BK45:BM45"/>
    <mergeCell ref="B44:E44"/>
    <mergeCell ref="F44:O44"/>
    <mergeCell ref="P44:AC44"/>
    <mergeCell ref="AD44:AF44"/>
    <mergeCell ref="AG44:AL44"/>
    <mergeCell ref="AM44:AR44"/>
    <mergeCell ref="AS44:AX44"/>
    <mergeCell ref="AY44:BD44"/>
    <mergeCell ref="BE44:BG44"/>
    <mergeCell ref="BH46:BJ46"/>
    <mergeCell ref="BK46:BM46"/>
    <mergeCell ref="B47:E47"/>
    <mergeCell ref="F47:O47"/>
    <mergeCell ref="P47:AC47"/>
    <mergeCell ref="AD47:AF47"/>
    <mergeCell ref="AG47:AL47"/>
    <mergeCell ref="AM47:AR47"/>
    <mergeCell ref="AS47:AX47"/>
    <mergeCell ref="AY47:BD47"/>
    <mergeCell ref="BE47:BG47"/>
    <mergeCell ref="BH47:BJ47"/>
    <mergeCell ref="BK47:BM47"/>
    <mergeCell ref="B46:E46"/>
    <mergeCell ref="F46:O46"/>
    <mergeCell ref="P46:AC46"/>
    <mergeCell ref="AD46:AF46"/>
    <mergeCell ref="AG46:AL46"/>
    <mergeCell ref="AM46:AR46"/>
    <mergeCell ref="AS46:AX46"/>
    <mergeCell ref="AY46:BD46"/>
    <mergeCell ref="BE46:BG46"/>
    <mergeCell ref="B61:E61"/>
    <mergeCell ref="F61:O61"/>
    <mergeCell ref="P61:AC61"/>
    <mergeCell ref="AD61:AF61"/>
    <mergeCell ref="AG61:AL61"/>
    <mergeCell ref="AM61:AR61"/>
    <mergeCell ref="AS61:AX61"/>
    <mergeCell ref="AY61:BD61"/>
    <mergeCell ref="BE61:BG61"/>
    <mergeCell ref="BH61:BJ61"/>
    <mergeCell ref="BK61:BM61"/>
    <mergeCell ref="B59:E59"/>
    <mergeCell ref="F59:O59"/>
    <mergeCell ref="P59:AC59"/>
    <mergeCell ref="AD59:AF59"/>
    <mergeCell ref="AG59:AL59"/>
    <mergeCell ref="AM59:AR59"/>
    <mergeCell ref="AS59:AX59"/>
    <mergeCell ref="AY59:BD59"/>
    <mergeCell ref="BE59:BG59"/>
    <mergeCell ref="BH59:BJ59"/>
    <mergeCell ref="BK59:BM59"/>
    <mergeCell ref="B60:E60"/>
    <mergeCell ref="F60:O60"/>
    <mergeCell ref="P60:AC60"/>
    <mergeCell ref="AD60:AF60"/>
    <mergeCell ref="AG60:AL60"/>
    <mergeCell ref="AM60:AR60"/>
    <mergeCell ref="AS60:AX60"/>
    <mergeCell ref="AY60:BD60"/>
    <mergeCell ref="BE60:BG60"/>
    <mergeCell ref="BH60:BJ60"/>
    <mergeCell ref="BK60:BM60"/>
  </mergeCells>
  <phoneticPr fontId="41"/>
  <dataValidations count="1">
    <dataValidation type="list" allowBlank="1" showInputMessage="1" showErrorMessage="1" sqref="AD10:AD64" xr:uid="{00000000-0002-0000-0900-000000000000}">
      <formula1>"(選択),購入,リース,レンタル"</formula1>
    </dataValidation>
  </dataValidations>
  <pageMargins left="0.7" right="0.7" top="0.75" bottom="0.75" header="0.3" footer="0.3"/>
  <pageSetup paperSize="9" scale="57" orientation="portrait" copies="2"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79998168889431442"/>
  </sheetPr>
  <dimension ref="B1:BM26"/>
  <sheetViews>
    <sheetView view="pageBreakPreview" zoomScale="257" zoomScaleNormal="100" zoomScaleSheetLayoutView="257" workbookViewId="0">
      <selection activeCell="F12" sqref="F12:O12"/>
    </sheetView>
  </sheetViews>
  <sheetFormatPr baseColWidth="10" defaultColWidth="2" defaultRowHeight="18"/>
  <cols>
    <col min="1" max="1" width="0.83203125" style="94" customWidth="1"/>
    <col min="2" max="65" width="2" style="94"/>
    <col min="66" max="66" width="0.83203125" style="94" customWidth="1"/>
    <col min="67" max="83" width="2" style="94"/>
    <col min="84" max="84" width="0.83203125" style="94" customWidth="1"/>
    <col min="85" max="101" width="2" style="94"/>
    <col min="102" max="102" width="2" style="94" customWidth="1"/>
    <col min="103" max="16384" width="2" style="94"/>
  </cols>
  <sheetData>
    <row r="1" spans="2:65">
      <c r="B1" s="100" t="s">
        <v>462</v>
      </c>
      <c r="C1" s="101"/>
      <c r="D1" s="101"/>
      <c r="E1" s="101"/>
    </row>
    <row r="2" spans="2:65">
      <c r="B2" s="100"/>
      <c r="C2" s="102" t="s">
        <v>258</v>
      </c>
      <c r="D2" s="101"/>
      <c r="E2" s="101"/>
    </row>
    <row r="3" spans="2:65">
      <c r="C3" s="96" t="s">
        <v>530</v>
      </c>
    </row>
    <row r="4" spans="2:65">
      <c r="B4" s="101"/>
      <c r="C4" s="96" t="s">
        <v>423</v>
      </c>
      <c r="D4" s="101"/>
      <c r="E4" s="101"/>
    </row>
    <row r="5" spans="2:65">
      <c r="B5" s="101"/>
      <c r="C5" s="101" t="s">
        <v>283</v>
      </c>
      <c r="D5" s="101"/>
      <c r="E5" s="101"/>
    </row>
    <row r="6" spans="2:65">
      <c r="C6" s="103" t="s">
        <v>284</v>
      </c>
      <c r="D6" s="101"/>
      <c r="E6" s="101"/>
    </row>
    <row r="8" spans="2:65">
      <c r="B8" s="97"/>
      <c r="C8" s="97"/>
      <c r="D8" s="97"/>
      <c r="E8" s="97"/>
      <c r="F8" s="97"/>
      <c r="G8" s="97"/>
      <c r="H8" s="97"/>
      <c r="I8" s="97"/>
      <c r="J8" s="97"/>
      <c r="K8" s="97"/>
      <c r="L8" s="97"/>
      <c r="M8" s="97"/>
      <c r="N8" s="97"/>
      <c r="O8" s="97"/>
      <c r="P8" s="97"/>
      <c r="Q8" s="97"/>
      <c r="R8" s="97"/>
      <c r="S8" s="97"/>
      <c r="T8" s="97"/>
      <c r="U8" s="97"/>
      <c r="V8" s="97"/>
      <c r="W8" s="97"/>
      <c r="X8" s="97"/>
      <c r="Y8" s="97"/>
      <c r="Z8" s="97"/>
      <c r="AA8" s="97"/>
      <c r="AB8" s="97"/>
      <c r="AC8" s="97"/>
      <c r="AD8" s="97"/>
      <c r="AE8" s="97"/>
      <c r="AF8" s="97"/>
      <c r="AG8" s="97"/>
      <c r="AH8" s="97"/>
      <c r="AI8" s="97"/>
      <c r="AJ8" s="97"/>
      <c r="AK8" s="97"/>
      <c r="AL8" s="97"/>
      <c r="AM8" s="903" t="s">
        <v>247</v>
      </c>
      <c r="AN8" s="903"/>
      <c r="AO8" s="903"/>
      <c r="AP8" s="903"/>
      <c r="AQ8" s="903"/>
      <c r="AR8" s="903"/>
      <c r="AS8" s="903" t="s">
        <v>247</v>
      </c>
      <c r="AT8" s="903"/>
      <c r="AU8" s="903"/>
      <c r="AV8" s="903"/>
      <c r="AW8" s="903"/>
      <c r="AX8" s="903"/>
      <c r="AY8" s="903" t="s">
        <v>248</v>
      </c>
      <c r="AZ8" s="903"/>
      <c r="BA8" s="903"/>
      <c r="BB8" s="903"/>
      <c r="BC8" s="903"/>
      <c r="BD8" s="903"/>
      <c r="BE8" s="97"/>
      <c r="BF8" s="97"/>
      <c r="BG8" s="97"/>
      <c r="BH8" s="98"/>
      <c r="BI8" s="98"/>
      <c r="BJ8" s="97"/>
      <c r="BK8" s="97"/>
      <c r="BL8" s="97"/>
      <c r="BM8" s="99" t="s">
        <v>249</v>
      </c>
    </row>
    <row r="9" spans="2:65">
      <c r="B9" s="904" t="s">
        <v>250</v>
      </c>
      <c r="C9" s="891"/>
      <c r="D9" s="891"/>
      <c r="E9" s="892"/>
      <c r="F9" s="904" t="s">
        <v>251</v>
      </c>
      <c r="G9" s="891"/>
      <c r="H9" s="891"/>
      <c r="I9" s="891"/>
      <c r="J9" s="891"/>
      <c r="K9" s="891"/>
      <c r="L9" s="891"/>
      <c r="M9" s="891"/>
      <c r="N9" s="891"/>
      <c r="O9" s="892"/>
      <c r="P9" s="904" t="s">
        <v>252</v>
      </c>
      <c r="Q9" s="891"/>
      <c r="R9" s="891"/>
      <c r="S9" s="891"/>
      <c r="T9" s="891"/>
      <c r="U9" s="891"/>
      <c r="V9" s="891"/>
      <c r="W9" s="891"/>
      <c r="X9" s="891"/>
      <c r="Y9" s="891"/>
      <c r="Z9" s="891"/>
      <c r="AA9" s="891"/>
      <c r="AB9" s="891"/>
      <c r="AC9" s="892"/>
      <c r="AD9" s="904" t="s">
        <v>253</v>
      </c>
      <c r="AE9" s="891"/>
      <c r="AF9" s="892"/>
      <c r="AG9" s="904" t="s">
        <v>254</v>
      </c>
      <c r="AH9" s="891"/>
      <c r="AI9" s="891"/>
      <c r="AJ9" s="891"/>
      <c r="AK9" s="891"/>
      <c r="AL9" s="892"/>
      <c r="AM9" s="905" t="s">
        <v>255</v>
      </c>
      <c r="AN9" s="905"/>
      <c r="AO9" s="905"/>
      <c r="AP9" s="905"/>
      <c r="AQ9" s="905"/>
      <c r="AR9" s="905"/>
      <c r="AS9" s="904" t="s">
        <v>256</v>
      </c>
      <c r="AT9" s="891"/>
      <c r="AU9" s="891"/>
      <c r="AV9" s="891"/>
      <c r="AW9" s="891"/>
      <c r="AX9" s="892"/>
      <c r="AY9" s="904" t="s">
        <v>257</v>
      </c>
      <c r="AZ9" s="891"/>
      <c r="BA9" s="891"/>
      <c r="BB9" s="891"/>
      <c r="BC9" s="891"/>
      <c r="BD9" s="892"/>
      <c r="BE9" s="891" t="s">
        <v>285</v>
      </c>
      <c r="BF9" s="891"/>
      <c r="BG9" s="891"/>
      <c r="BH9" s="891"/>
      <c r="BI9" s="891"/>
      <c r="BJ9" s="891"/>
      <c r="BK9" s="891"/>
      <c r="BL9" s="891"/>
      <c r="BM9" s="892"/>
    </row>
    <row r="10" spans="2:65">
      <c r="B10" s="893" t="s">
        <v>259</v>
      </c>
      <c r="C10" s="894"/>
      <c r="D10" s="894"/>
      <c r="E10" s="895"/>
      <c r="F10" s="896"/>
      <c r="G10" s="897"/>
      <c r="H10" s="897"/>
      <c r="I10" s="897"/>
      <c r="J10" s="897"/>
      <c r="K10" s="897"/>
      <c r="L10" s="897"/>
      <c r="M10" s="897"/>
      <c r="N10" s="897"/>
      <c r="O10" s="898"/>
      <c r="P10" s="899" t="s">
        <v>260</v>
      </c>
      <c r="Q10" s="899"/>
      <c r="R10" s="899"/>
      <c r="S10" s="899"/>
      <c r="T10" s="899"/>
      <c r="U10" s="899"/>
      <c r="V10" s="899"/>
      <c r="W10" s="899"/>
      <c r="X10" s="899"/>
      <c r="Y10" s="899"/>
      <c r="Z10" s="899"/>
      <c r="AA10" s="899"/>
      <c r="AB10" s="899"/>
      <c r="AC10" s="899"/>
      <c r="AD10" s="899" t="s">
        <v>261</v>
      </c>
      <c r="AE10" s="899"/>
      <c r="AF10" s="899"/>
      <c r="AG10" s="899" t="s">
        <v>262</v>
      </c>
      <c r="AH10" s="899"/>
      <c r="AI10" s="899"/>
      <c r="AJ10" s="899"/>
      <c r="AK10" s="899"/>
      <c r="AL10" s="899"/>
      <c r="AM10" s="936" t="s">
        <v>263</v>
      </c>
      <c r="AN10" s="899"/>
      <c r="AO10" s="899"/>
      <c r="AP10" s="899"/>
      <c r="AQ10" s="899"/>
      <c r="AR10" s="899"/>
      <c r="AS10" s="899" t="s">
        <v>264</v>
      </c>
      <c r="AT10" s="899"/>
      <c r="AU10" s="899"/>
      <c r="AV10" s="899"/>
      <c r="AW10" s="899"/>
      <c r="AX10" s="899"/>
      <c r="AY10" s="899" t="s">
        <v>265</v>
      </c>
      <c r="AZ10" s="899"/>
      <c r="BA10" s="899"/>
      <c r="BB10" s="899"/>
      <c r="BC10" s="899"/>
      <c r="BD10" s="899"/>
      <c r="BE10" s="900" t="s">
        <v>266</v>
      </c>
      <c r="BF10" s="900"/>
      <c r="BG10" s="900"/>
      <c r="BH10" s="901" t="s">
        <v>267</v>
      </c>
      <c r="BI10" s="901"/>
      <c r="BJ10" s="901"/>
      <c r="BK10" s="902" t="s">
        <v>255</v>
      </c>
      <c r="BL10" s="902"/>
      <c r="BM10" s="902"/>
    </row>
    <row r="11" spans="2:65" ht="32.25" customHeight="1">
      <c r="B11" s="881" t="s">
        <v>286</v>
      </c>
      <c r="C11" s="881"/>
      <c r="D11" s="881"/>
      <c r="E11" s="881"/>
      <c r="F11" s="882" t="s">
        <v>711</v>
      </c>
      <c r="G11" s="882"/>
      <c r="H11" s="882"/>
      <c r="I11" s="882"/>
      <c r="J11" s="882"/>
      <c r="K11" s="882"/>
      <c r="L11" s="882"/>
      <c r="M11" s="882"/>
      <c r="N11" s="882"/>
      <c r="O11" s="882"/>
      <c r="P11" s="934"/>
      <c r="Q11" s="934"/>
      <c r="R11" s="934"/>
      <c r="S11" s="934"/>
      <c r="T11" s="934"/>
      <c r="U11" s="934"/>
      <c r="V11" s="934"/>
      <c r="W11" s="934"/>
      <c r="X11" s="934"/>
      <c r="Y11" s="934"/>
      <c r="Z11" s="934"/>
      <c r="AA11" s="934"/>
      <c r="AB11" s="934"/>
      <c r="AC11" s="934"/>
      <c r="AD11" s="935" t="s">
        <v>712</v>
      </c>
      <c r="AE11" s="935"/>
      <c r="AF11" s="935"/>
      <c r="AG11" s="885">
        <v>1</v>
      </c>
      <c r="AH11" s="885"/>
      <c r="AI11" s="885"/>
      <c r="AJ11" s="885"/>
      <c r="AK11" s="885"/>
      <c r="AL11" s="885"/>
      <c r="AM11" s="885">
        <v>134000</v>
      </c>
      <c r="AN11" s="885"/>
      <c r="AO11" s="885"/>
      <c r="AP11" s="885"/>
      <c r="AQ11" s="885"/>
      <c r="AR11" s="885"/>
      <c r="AS11" s="886">
        <f>IF(AM11="","",AG11*AM11)</f>
        <v>134000</v>
      </c>
      <c r="AT11" s="886"/>
      <c r="AU11" s="886"/>
      <c r="AV11" s="886"/>
      <c r="AW11" s="886"/>
      <c r="AX11" s="886"/>
      <c r="AY11" s="886">
        <f>IF(AM11="","",ROUNDDOWN(AG11*AM11*1.1,0))</f>
        <v>147400</v>
      </c>
      <c r="AZ11" s="886"/>
      <c r="BA11" s="886"/>
      <c r="BB11" s="886"/>
      <c r="BC11" s="886"/>
      <c r="BD11" s="886"/>
      <c r="BE11" s="878" t="str">
        <f>IF(AS11="","",IF(AS11&gt;=300000,"必要",""))</f>
        <v/>
      </c>
      <c r="BF11" s="878"/>
      <c r="BG11" s="878"/>
      <c r="BH11" s="878" t="str">
        <f>IF(AS11="","",IF(AS11&gt;=1000000,"必要",""))</f>
        <v/>
      </c>
      <c r="BI11" s="878"/>
      <c r="BJ11" s="878"/>
      <c r="BK11" s="878" t="str">
        <f>IF(AM11="","",IF(AM11&lt;100000,"×","〇"))</f>
        <v>〇</v>
      </c>
      <c r="BL11" s="878"/>
      <c r="BM11" s="878"/>
    </row>
    <row r="12" spans="2:65" ht="32.25" customHeight="1">
      <c r="B12" s="881" t="s">
        <v>287</v>
      </c>
      <c r="C12" s="881"/>
      <c r="D12" s="881"/>
      <c r="E12" s="881"/>
      <c r="F12" s="933" t="s">
        <v>713</v>
      </c>
      <c r="G12" s="933"/>
      <c r="H12" s="933"/>
      <c r="I12" s="933"/>
      <c r="J12" s="933"/>
      <c r="K12" s="933"/>
      <c r="L12" s="933"/>
      <c r="M12" s="933"/>
      <c r="N12" s="933"/>
      <c r="O12" s="933"/>
      <c r="P12" s="934"/>
      <c r="Q12" s="934"/>
      <c r="R12" s="934"/>
      <c r="S12" s="934"/>
      <c r="T12" s="934"/>
      <c r="U12" s="934"/>
      <c r="V12" s="934"/>
      <c r="W12" s="934"/>
      <c r="X12" s="934"/>
      <c r="Y12" s="934"/>
      <c r="Z12" s="934"/>
      <c r="AA12" s="934"/>
      <c r="AB12" s="934"/>
      <c r="AC12" s="934"/>
      <c r="AD12" s="935" t="s">
        <v>712</v>
      </c>
      <c r="AE12" s="935"/>
      <c r="AF12" s="935"/>
      <c r="AG12" s="885">
        <v>1</v>
      </c>
      <c r="AH12" s="885"/>
      <c r="AI12" s="885"/>
      <c r="AJ12" s="885"/>
      <c r="AK12" s="885"/>
      <c r="AL12" s="885"/>
      <c r="AM12" s="885">
        <v>360000</v>
      </c>
      <c r="AN12" s="885"/>
      <c r="AO12" s="885"/>
      <c r="AP12" s="885"/>
      <c r="AQ12" s="885"/>
      <c r="AR12" s="885"/>
      <c r="AS12" s="886">
        <f>IF(AM12="","",AG12*AM12)</f>
        <v>360000</v>
      </c>
      <c r="AT12" s="886"/>
      <c r="AU12" s="886"/>
      <c r="AV12" s="886"/>
      <c r="AW12" s="886"/>
      <c r="AX12" s="886"/>
      <c r="AY12" s="886">
        <f>IF(AM12="","",ROUNDDOWN(AG12*AM12*1.1,0))</f>
        <v>396000</v>
      </c>
      <c r="AZ12" s="886"/>
      <c r="BA12" s="886"/>
      <c r="BB12" s="886"/>
      <c r="BC12" s="886"/>
      <c r="BD12" s="886"/>
      <c r="BE12" s="878" t="str">
        <f>IF(AS12="","",IF(AS12&gt;=300000,"必要",""))</f>
        <v>必要</v>
      </c>
      <c r="BF12" s="878"/>
      <c r="BG12" s="878"/>
      <c r="BH12" s="878" t="str">
        <f>IF(AS12="","",IF(AS12&gt;=1000000,"必要",""))</f>
        <v/>
      </c>
      <c r="BI12" s="878"/>
      <c r="BJ12" s="878"/>
      <c r="BK12" s="878" t="str">
        <f>IF(AM12="","",IF(AM12&lt;100000,"×","〇"))</f>
        <v>〇</v>
      </c>
      <c r="BL12" s="878"/>
      <c r="BM12" s="878"/>
    </row>
    <row r="13" spans="2:65" ht="32.25" customHeight="1">
      <c r="B13" s="881" t="s">
        <v>288</v>
      </c>
      <c r="C13" s="881"/>
      <c r="D13" s="881"/>
      <c r="E13" s="881"/>
      <c r="F13" s="933" t="s">
        <v>714</v>
      </c>
      <c r="G13" s="933"/>
      <c r="H13" s="933"/>
      <c r="I13" s="933"/>
      <c r="J13" s="933"/>
      <c r="K13" s="933"/>
      <c r="L13" s="933"/>
      <c r="M13" s="933"/>
      <c r="N13" s="933"/>
      <c r="O13" s="933"/>
      <c r="P13" s="934"/>
      <c r="Q13" s="934"/>
      <c r="R13" s="934"/>
      <c r="S13" s="934"/>
      <c r="T13" s="934"/>
      <c r="U13" s="934"/>
      <c r="V13" s="934"/>
      <c r="W13" s="934"/>
      <c r="X13" s="934"/>
      <c r="Y13" s="934"/>
      <c r="Z13" s="934"/>
      <c r="AA13" s="934"/>
      <c r="AB13" s="934"/>
      <c r="AC13" s="934"/>
      <c r="AD13" s="935" t="s">
        <v>202</v>
      </c>
      <c r="AE13" s="935"/>
      <c r="AF13" s="935"/>
      <c r="AG13" s="885">
        <v>1</v>
      </c>
      <c r="AH13" s="885"/>
      <c r="AI13" s="885"/>
      <c r="AJ13" s="885"/>
      <c r="AK13" s="885"/>
      <c r="AL13" s="885"/>
      <c r="AM13" s="885">
        <v>319000</v>
      </c>
      <c r="AN13" s="885"/>
      <c r="AO13" s="885"/>
      <c r="AP13" s="885"/>
      <c r="AQ13" s="885"/>
      <c r="AR13" s="885"/>
      <c r="AS13" s="886">
        <f>IF(AM13="","",AG13*AM13)</f>
        <v>319000</v>
      </c>
      <c r="AT13" s="886"/>
      <c r="AU13" s="886"/>
      <c r="AV13" s="886"/>
      <c r="AW13" s="886"/>
      <c r="AX13" s="886"/>
      <c r="AY13" s="886">
        <f>IF(AM13="","",ROUNDDOWN(AG13*AM13*1.1,0))</f>
        <v>350900</v>
      </c>
      <c r="AZ13" s="886"/>
      <c r="BA13" s="886"/>
      <c r="BB13" s="886"/>
      <c r="BC13" s="886"/>
      <c r="BD13" s="886"/>
      <c r="BE13" s="878" t="str">
        <f>IF(AS13="","",IF(AS13&gt;=300000,"必要",""))</f>
        <v>必要</v>
      </c>
      <c r="BF13" s="878"/>
      <c r="BG13" s="878"/>
      <c r="BH13" s="878" t="str">
        <f>IF(AS13="","",IF(AS13&gt;=1000000,"必要",""))</f>
        <v/>
      </c>
      <c r="BI13" s="878"/>
      <c r="BJ13" s="878"/>
      <c r="BK13" s="878" t="str">
        <f>IF(AM13="","",IF(AM13&lt;100000,"×","〇"))</f>
        <v>〇</v>
      </c>
      <c r="BL13" s="878"/>
      <c r="BM13" s="878"/>
    </row>
    <row r="14" spans="2:65" ht="32.25" customHeight="1">
      <c r="B14" s="881" t="s">
        <v>289</v>
      </c>
      <c r="C14" s="881"/>
      <c r="D14" s="881"/>
      <c r="E14" s="881"/>
      <c r="F14" s="933" t="s">
        <v>715</v>
      </c>
      <c r="G14" s="933"/>
      <c r="H14" s="933"/>
      <c r="I14" s="933"/>
      <c r="J14" s="933"/>
      <c r="K14" s="933"/>
      <c r="L14" s="933"/>
      <c r="M14" s="933"/>
      <c r="N14" s="933"/>
      <c r="O14" s="933"/>
      <c r="P14" s="934"/>
      <c r="Q14" s="934"/>
      <c r="R14" s="934"/>
      <c r="S14" s="934"/>
      <c r="T14" s="934"/>
      <c r="U14" s="934"/>
      <c r="V14" s="934"/>
      <c r="W14" s="934"/>
      <c r="X14" s="934"/>
      <c r="Y14" s="934"/>
      <c r="Z14" s="934"/>
      <c r="AA14" s="934"/>
      <c r="AB14" s="934"/>
      <c r="AC14" s="934"/>
      <c r="AD14" s="935" t="s">
        <v>202</v>
      </c>
      <c r="AE14" s="935"/>
      <c r="AF14" s="935"/>
      <c r="AG14" s="885">
        <v>1</v>
      </c>
      <c r="AH14" s="885"/>
      <c r="AI14" s="885"/>
      <c r="AJ14" s="885"/>
      <c r="AK14" s="885"/>
      <c r="AL14" s="885"/>
      <c r="AM14" s="885">
        <v>367000</v>
      </c>
      <c r="AN14" s="885"/>
      <c r="AO14" s="885"/>
      <c r="AP14" s="885"/>
      <c r="AQ14" s="885"/>
      <c r="AR14" s="885"/>
      <c r="AS14" s="886">
        <f>IF(AM14="","",AG14*AM14)</f>
        <v>367000</v>
      </c>
      <c r="AT14" s="886"/>
      <c r="AU14" s="886"/>
      <c r="AV14" s="886"/>
      <c r="AW14" s="886"/>
      <c r="AX14" s="886"/>
      <c r="AY14" s="886">
        <f>IF(AM14="","",ROUNDDOWN(AG14*AM14*1.1,0))</f>
        <v>403700</v>
      </c>
      <c r="AZ14" s="886"/>
      <c r="BA14" s="886"/>
      <c r="BB14" s="886"/>
      <c r="BC14" s="886"/>
      <c r="BD14" s="886"/>
      <c r="BE14" s="878" t="str">
        <f>IF(AS14="","",IF(AS14&gt;=300000,"必要",""))</f>
        <v>必要</v>
      </c>
      <c r="BF14" s="878"/>
      <c r="BG14" s="878"/>
      <c r="BH14" s="878" t="str">
        <f>IF(AS14="","",IF(AS14&gt;=1000000,"必要",""))</f>
        <v/>
      </c>
      <c r="BI14" s="878"/>
      <c r="BJ14" s="878"/>
      <c r="BK14" s="878" t="str">
        <f>IF(AM14="","",IF(AM14&lt;100000,"×","〇"))</f>
        <v>〇</v>
      </c>
      <c r="BL14" s="878"/>
      <c r="BM14" s="878"/>
    </row>
    <row r="15" spans="2:65" ht="32.25" customHeight="1">
      <c r="B15" s="881" t="s">
        <v>290</v>
      </c>
      <c r="C15" s="881"/>
      <c r="D15" s="881"/>
      <c r="E15" s="881"/>
      <c r="F15" s="933"/>
      <c r="G15" s="933"/>
      <c r="H15" s="933"/>
      <c r="I15" s="933"/>
      <c r="J15" s="933"/>
      <c r="K15" s="933"/>
      <c r="L15" s="933"/>
      <c r="M15" s="933"/>
      <c r="N15" s="933"/>
      <c r="O15" s="933"/>
      <c r="P15" s="934"/>
      <c r="Q15" s="934"/>
      <c r="R15" s="934"/>
      <c r="S15" s="934"/>
      <c r="T15" s="934"/>
      <c r="U15" s="934"/>
      <c r="V15" s="934"/>
      <c r="W15" s="934"/>
      <c r="X15" s="934"/>
      <c r="Y15" s="934"/>
      <c r="Z15" s="934"/>
      <c r="AA15" s="934"/>
      <c r="AB15" s="934"/>
      <c r="AC15" s="934"/>
      <c r="AD15" s="935" t="s">
        <v>202</v>
      </c>
      <c r="AE15" s="935"/>
      <c r="AF15" s="935"/>
      <c r="AG15" s="885"/>
      <c r="AH15" s="885"/>
      <c r="AI15" s="885"/>
      <c r="AJ15" s="885"/>
      <c r="AK15" s="885"/>
      <c r="AL15" s="885"/>
      <c r="AM15" s="885"/>
      <c r="AN15" s="885"/>
      <c r="AO15" s="885"/>
      <c r="AP15" s="885"/>
      <c r="AQ15" s="885"/>
      <c r="AR15" s="885"/>
      <c r="AS15" s="886" t="str">
        <f>IF(AM15="","",AG15*AM15)</f>
        <v/>
      </c>
      <c r="AT15" s="886"/>
      <c r="AU15" s="886"/>
      <c r="AV15" s="886"/>
      <c r="AW15" s="886"/>
      <c r="AX15" s="886"/>
      <c r="AY15" s="886" t="str">
        <f>IF(AM15="","",ROUNDDOWN(AG15*AM15*1.1,0))</f>
        <v/>
      </c>
      <c r="AZ15" s="886"/>
      <c r="BA15" s="886"/>
      <c r="BB15" s="886"/>
      <c r="BC15" s="886"/>
      <c r="BD15" s="886"/>
      <c r="BE15" s="878" t="str">
        <f>IF(AS15="","",IF(AS15&gt;=300000,"必要",""))</f>
        <v/>
      </c>
      <c r="BF15" s="878"/>
      <c r="BG15" s="878"/>
      <c r="BH15" s="878" t="str">
        <f>IF(AS15="","",IF(AS15&gt;=1000000,"必要",""))</f>
        <v/>
      </c>
      <c r="BI15" s="878"/>
      <c r="BJ15" s="878"/>
      <c r="BK15" s="878" t="str">
        <f>IF(AM15="","",IF(AM15&lt;100000,"×","〇"))</f>
        <v/>
      </c>
      <c r="BL15" s="878"/>
      <c r="BM15" s="878"/>
    </row>
    <row r="16" spans="2:65" ht="32.25" customHeight="1">
      <c r="AM16" s="887" t="s">
        <v>34</v>
      </c>
      <c r="AN16" s="887"/>
      <c r="AO16" s="887"/>
      <c r="AP16" s="887"/>
      <c r="AQ16" s="887"/>
      <c r="AR16" s="888"/>
      <c r="AS16" s="889">
        <f>SUM(AS11:AX15)</f>
        <v>1180000</v>
      </c>
      <c r="AT16" s="889"/>
      <c r="AU16" s="889"/>
      <c r="AV16" s="889"/>
      <c r="AW16" s="889"/>
      <c r="AX16" s="889"/>
      <c r="AY16" s="889">
        <f>SUM(AY11:BD15)</f>
        <v>1298000</v>
      </c>
      <c r="AZ16" s="889"/>
      <c r="BA16" s="889"/>
      <c r="BB16" s="889"/>
      <c r="BC16" s="889"/>
      <c r="BD16" s="889"/>
    </row>
    <row r="18" spans="2:65">
      <c r="B18" s="104" t="s">
        <v>291</v>
      </c>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row>
    <row r="19" spans="2:65">
      <c r="B19" s="104"/>
      <c r="C19" s="105" t="s">
        <v>424</v>
      </c>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c r="AC19" s="104"/>
      <c r="AD19" s="104"/>
      <c r="AE19" s="104"/>
      <c r="AF19" s="104"/>
      <c r="AG19" s="104"/>
      <c r="AH19" s="104"/>
      <c r="AI19" s="104"/>
      <c r="AJ19" s="104"/>
      <c r="AK19" s="104"/>
      <c r="AL19" s="104"/>
      <c r="AM19" s="104"/>
      <c r="AN19" s="104"/>
      <c r="AO19" s="104"/>
      <c r="AP19" s="104"/>
      <c r="AQ19" s="104"/>
      <c r="AR19" s="104"/>
      <c r="AS19" s="104"/>
      <c r="AT19" s="104"/>
      <c r="AU19" s="104"/>
      <c r="AV19" s="104"/>
      <c r="AW19" s="104"/>
      <c r="AX19" s="104"/>
      <c r="AY19" s="104"/>
      <c r="AZ19" s="104"/>
      <c r="BA19" s="104"/>
      <c r="BB19" s="104"/>
      <c r="BC19" s="104"/>
      <c r="BD19" s="104"/>
      <c r="BE19" s="104"/>
      <c r="BF19" s="104"/>
      <c r="BG19" s="104"/>
      <c r="BH19" s="104"/>
      <c r="BI19" s="104"/>
      <c r="BJ19" s="104"/>
      <c r="BK19" s="104"/>
      <c r="BL19" s="104"/>
      <c r="BM19" s="104"/>
    </row>
    <row r="20" spans="2:65">
      <c r="B20" s="104"/>
      <c r="C20" s="931" t="s">
        <v>292</v>
      </c>
      <c r="D20" s="932"/>
      <c r="E20" s="932"/>
      <c r="F20" s="932"/>
      <c r="G20" s="932"/>
      <c r="H20" s="932"/>
      <c r="I20" s="932"/>
      <c r="J20" s="932"/>
      <c r="K20" s="932"/>
      <c r="L20" s="932"/>
      <c r="M20" s="932"/>
      <c r="N20" s="932"/>
      <c r="O20" s="932"/>
      <c r="P20" s="932"/>
      <c r="Q20" s="932"/>
      <c r="R20" s="932"/>
      <c r="S20" s="932"/>
      <c r="T20" s="932"/>
      <c r="U20" s="932"/>
      <c r="V20" s="932"/>
      <c r="W20" s="932"/>
      <c r="X20" s="932"/>
      <c r="Y20" s="932"/>
      <c r="Z20" s="932"/>
      <c r="AA20" s="932"/>
      <c r="AB20" s="932"/>
      <c r="AC20" s="932"/>
      <c r="AD20" s="932"/>
      <c r="AE20" s="932"/>
      <c r="AF20" s="932"/>
      <c r="AG20" s="932"/>
      <c r="AH20" s="932"/>
      <c r="AI20" s="932"/>
      <c r="AJ20" s="932"/>
      <c r="AK20" s="932"/>
      <c r="AL20" s="932"/>
      <c r="AM20" s="932"/>
      <c r="AN20" s="932"/>
      <c r="AO20" s="932"/>
      <c r="AP20" s="932"/>
      <c r="AQ20" s="932"/>
      <c r="AR20" s="932"/>
      <c r="AS20" s="932"/>
      <c r="AT20" s="932"/>
      <c r="AU20" s="932"/>
      <c r="AV20" s="932"/>
      <c r="AW20" s="932"/>
      <c r="AX20" s="932"/>
      <c r="AY20" s="932"/>
      <c r="AZ20" s="932"/>
      <c r="BA20" s="932"/>
      <c r="BB20" s="932"/>
      <c r="BC20" s="932"/>
      <c r="BD20" s="932"/>
      <c r="BE20" s="932"/>
      <c r="BF20" s="932"/>
      <c r="BG20" s="932"/>
      <c r="BH20" s="932"/>
      <c r="BI20" s="932"/>
      <c r="BJ20" s="932"/>
      <c r="BK20" s="932"/>
      <c r="BL20" s="932"/>
      <c r="BM20" s="932"/>
    </row>
    <row r="21" spans="2:65" ht="23.5" customHeight="1">
      <c r="B21" s="923" t="s">
        <v>432</v>
      </c>
      <c r="C21" s="929"/>
      <c r="D21" s="929"/>
      <c r="E21" s="930"/>
      <c r="F21" s="920"/>
      <c r="G21" s="921"/>
      <c r="H21" s="921"/>
      <c r="I21" s="921"/>
      <c r="J21" s="922"/>
      <c r="K21" s="918" t="s">
        <v>429</v>
      </c>
      <c r="L21" s="906"/>
      <c r="M21" s="906"/>
      <c r="N21" s="906"/>
      <c r="O21" s="906"/>
      <c r="P21" s="920"/>
      <c r="Q21" s="921"/>
      <c r="R21" s="921"/>
      <c r="S21" s="921"/>
      <c r="T21" s="921"/>
      <c r="U21" s="921"/>
      <c r="V21" s="921"/>
      <c r="W21" s="921"/>
      <c r="X21" s="921"/>
      <c r="Y21" s="921"/>
      <c r="Z21" s="921"/>
      <c r="AA21" s="921"/>
      <c r="AB21" s="921"/>
      <c r="AC21" s="921"/>
      <c r="AD21" s="921"/>
      <c r="AE21" s="921"/>
      <c r="AF21" s="921"/>
      <c r="AG21" s="921"/>
      <c r="AH21" s="921"/>
      <c r="AI21" s="921"/>
      <c r="AJ21" s="921"/>
      <c r="AK21" s="922"/>
      <c r="AL21" s="923" t="s">
        <v>430</v>
      </c>
      <c r="AM21" s="924"/>
      <c r="AN21" s="924"/>
      <c r="AO21" s="924"/>
      <c r="AP21" s="924"/>
      <c r="AQ21" s="925"/>
      <c r="AR21" s="926"/>
      <c r="AS21" s="927"/>
      <c r="AT21" s="927"/>
      <c r="AU21" s="927"/>
      <c r="AV21" s="927"/>
      <c r="AW21" s="927"/>
      <c r="AX21" s="927"/>
      <c r="AY21" s="927"/>
      <c r="AZ21" s="927"/>
      <c r="BA21" s="927"/>
      <c r="BB21" s="927"/>
      <c r="BC21" s="927"/>
      <c r="BD21" s="927"/>
      <c r="BE21" s="927"/>
      <c r="BF21" s="927"/>
      <c r="BG21" s="927"/>
      <c r="BH21" s="927"/>
      <c r="BI21" s="927"/>
      <c r="BJ21" s="927"/>
      <c r="BK21" s="927"/>
      <c r="BL21" s="927"/>
      <c r="BM21" s="928"/>
    </row>
    <row r="22" spans="2:65" ht="23.5" customHeight="1">
      <c r="B22" s="909" t="s">
        <v>431</v>
      </c>
      <c r="C22" s="910"/>
      <c r="D22" s="910"/>
      <c r="E22" s="910"/>
      <c r="F22" s="910"/>
      <c r="G22" s="910"/>
      <c r="H22" s="910"/>
      <c r="I22" s="910"/>
      <c r="J22" s="910"/>
      <c r="K22" s="910"/>
      <c r="L22" s="910"/>
      <c r="M22" s="910"/>
      <c r="N22" s="910"/>
      <c r="O22" s="911"/>
      <c r="P22" s="920"/>
      <c r="Q22" s="921"/>
      <c r="R22" s="921"/>
      <c r="S22" s="921"/>
      <c r="T22" s="921"/>
      <c r="U22" s="921"/>
      <c r="V22" s="921"/>
      <c r="W22" s="921"/>
      <c r="X22" s="921"/>
      <c r="Y22" s="921"/>
      <c r="Z22" s="921"/>
      <c r="AA22" s="921"/>
      <c r="AB22" s="921"/>
      <c r="AC22" s="921"/>
      <c r="AD22" s="921"/>
      <c r="AE22" s="921"/>
      <c r="AF22" s="921"/>
      <c r="AG22" s="921"/>
      <c r="AH22" s="921"/>
      <c r="AI22" s="921"/>
      <c r="AJ22" s="921"/>
      <c r="AK22" s="921"/>
      <c r="AL22" s="921"/>
      <c r="AM22" s="921"/>
      <c r="AN22" s="921"/>
      <c r="AO22" s="921"/>
      <c r="AP22" s="921"/>
      <c r="AQ22" s="921"/>
      <c r="AR22" s="921"/>
      <c r="AS22" s="921"/>
      <c r="AT22" s="921"/>
      <c r="AU22" s="921"/>
      <c r="AV22" s="921"/>
      <c r="AW22" s="921"/>
      <c r="AX22" s="921"/>
      <c r="AY22" s="921"/>
      <c r="AZ22" s="921"/>
      <c r="BA22" s="921"/>
      <c r="BB22" s="921"/>
      <c r="BC22" s="921"/>
      <c r="BD22" s="921"/>
      <c r="BE22" s="921"/>
      <c r="BF22" s="921"/>
      <c r="BG22" s="921"/>
      <c r="BH22" s="921"/>
      <c r="BI22" s="921"/>
      <c r="BJ22" s="921"/>
      <c r="BK22" s="921"/>
      <c r="BL22" s="921"/>
      <c r="BM22" s="922"/>
    </row>
    <row r="23" spans="2:65" ht="24" customHeight="1">
      <c r="B23" s="919" t="s">
        <v>513</v>
      </c>
      <c r="C23" s="906"/>
      <c r="D23" s="906"/>
      <c r="E23" s="906"/>
      <c r="F23" s="906"/>
      <c r="G23" s="906"/>
      <c r="H23" s="906"/>
      <c r="I23" s="906"/>
      <c r="J23" s="906"/>
      <c r="K23" s="906"/>
      <c r="L23" s="906"/>
      <c r="M23" s="906"/>
      <c r="N23" s="906"/>
      <c r="O23" s="906"/>
      <c r="P23" s="920"/>
      <c r="Q23" s="921"/>
      <c r="R23" s="921"/>
      <c r="S23" s="921"/>
      <c r="T23" s="921"/>
      <c r="U23" s="921"/>
      <c r="V23" s="921"/>
      <c r="W23" s="921"/>
      <c r="X23" s="921"/>
      <c r="Y23" s="921"/>
      <c r="Z23" s="921"/>
      <c r="AA23" s="921"/>
      <c r="AB23" s="921"/>
      <c r="AC23" s="921"/>
      <c r="AD23" s="921"/>
      <c r="AE23" s="921"/>
      <c r="AF23" s="921"/>
      <c r="AG23" s="921"/>
      <c r="AH23" s="921"/>
      <c r="AI23" s="921"/>
      <c r="AJ23" s="921"/>
      <c r="AK23" s="921"/>
      <c r="AL23" s="921"/>
      <c r="AM23" s="921"/>
      <c r="AN23" s="921"/>
      <c r="AO23" s="921"/>
      <c r="AP23" s="921"/>
      <c r="AQ23" s="921"/>
      <c r="AR23" s="921"/>
      <c r="AS23" s="921"/>
      <c r="AT23" s="921"/>
      <c r="AU23" s="921"/>
      <c r="AV23" s="921"/>
      <c r="AW23" s="921"/>
      <c r="AX23" s="921"/>
      <c r="AY23" s="921"/>
      <c r="AZ23" s="921"/>
      <c r="BA23" s="921"/>
      <c r="BB23" s="921"/>
      <c r="BC23" s="921"/>
      <c r="BD23" s="921"/>
      <c r="BE23" s="921"/>
      <c r="BF23" s="921"/>
      <c r="BG23" s="921"/>
      <c r="BH23" s="921"/>
      <c r="BI23" s="921"/>
      <c r="BJ23" s="921"/>
      <c r="BK23" s="921"/>
      <c r="BL23" s="921"/>
      <c r="BM23" s="922"/>
    </row>
    <row r="24" spans="2:65" ht="24" customHeight="1">
      <c r="B24" s="912" t="s">
        <v>453</v>
      </c>
      <c r="C24" s="913"/>
      <c r="D24" s="913"/>
      <c r="E24" s="913"/>
      <c r="F24" s="913"/>
      <c r="G24" s="913"/>
      <c r="H24" s="913"/>
      <c r="I24" s="913"/>
      <c r="J24" s="913"/>
      <c r="K24" s="913"/>
      <c r="L24" s="913"/>
      <c r="M24" s="913"/>
      <c r="N24" s="913"/>
      <c r="O24" s="914"/>
      <c r="P24" s="915" t="s">
        <v>454</v>
      </c>
      <c r="Q24" s="916"/>
      <c r="R24" s="916"/>
      <c r="S24" s="916"/>
      <c r="T24" s="916"/>
      <c r="U24" s="916"/>
      <c r="V24" s="916"/>
      <c r="W24" s="916"/>
      <c r="X24" s="916"/>
      <c r="Y24" s="916"/>
      <c r="Z24" s="916"/>
      <c r="AA24" s="916"/>
      <c r="AB24" s="916"/>
      <c r="AC24" s="916"/>
      <c r="AD24" s="916"/>
      <c r="AE24" s="916"/>
      <c r="AF24" s="916"/>
      <c r="AG24" s="916"/>
      <c r="AH24" s="916"/>
      <c r="AI24" s="916"/>
      <c r="AJ24" s="916"/>
      <c r="AK24" s="916"/>
      <c r="AL24" s="916"/>
      <c r="AM24" s="916"/>
      <c r="AN24" s="916"/>
      <c r="AO24" s="916"/>
      <c r="AP24" s="916"/>
      <c r="AQ24" s="916"/>
      <c r="AR24" s="916"/>
      <c r="AS24" s="916"/>
      <c r="AT24" s="916"/>
      <c r="AU24" s="916"/>
      <c r="AV24" s="916"/>
      <c r="AW24" s="916"/>
      <c r="AX24" s="916"/>
      <c r="AY24" s="916"/>
      <c r="AZ24" s="916"/>
      <c r="BA24" s="916"/>
      <c r="BB24" s="916"/>
      <c r="BC24" s="916"/>
      <c r="BD24" s="916"/>
      <c r="BE24" s="916"/>
      <c r="BF24" s="916"/>
      <c r="BG24" s="916"/>
      <c r="BH24" s="916"/>
      <c r="BI24" s="916"/>
      <c r="BJ24" s="916"/>
      <c r="BK24" s="916"/>
      <c r="BL24" s="916"/>
      <c r="BM24" s="917"/>
    </row>
    <row r="25" spans="2:65" ht="23.5" customHeight="1">
      <c r="B25" s="906" t="s">
        <v>293</v>
      </c>
      <c r="C25" s="906"/>
      <c r="D25" s="906"/>
      <c r="E25" s="906"/>
      <c r="F25" s="906"/>
      <c r="G25" s="906"/>
      <c r="H25" s="906"/>
      <c r="I25" s="906"/>
      <c r="J25" s="906"/>
      <c r="K25" s="906"/>
      <c r="L25" s="906"/>
      <c r="M25" s="906"/>
      <c r="N25" s="906"/>
      <c r="O25" s="906"/>
      <c r="P25" s="908"/>
      <c r="Q25" s="908"/>
      <c r="R25" s="908"/>
      <c r="S25" s="908"/>
      <c r="T25" s="908"/>
      <c r="U25" s="908"/>
      <c r="V25" s="908"/>
      <c r="W25" s="908"/>
      <c r="X25" s="908"/>
      <c r="Y25" s="908"/>
      <c r="Z25" s="908"/>
      <c r="AA25" s="908"/>
      <c r="AB25" s="908"/>
      <c r="AC25" s="908"/>
      <c r="AD25" s="908"/>
      <c r="AE25" s="908"/>
      <c r="AF25" s="908"/>
      <c r="AG25" s="908"/>
      <c r="AH25" s="908"/>
      <c r="AI25" s="908"/>
      <c r="AJ25" s="908"/>
      <c r="AK25" s="908"/>
      <c r="AL25" s="908"/>
      <c r="AM25" s="908"/>
      <c r="AN25" s="908"/>
      <c r="AO25" s="908"/>
      <c r="AP25" s="908"/>
      <c r="AQ25" s="908"/>
      <c r="AR25" s="908"/>
      <c r="AS25" s="908"/>
      <c r="AT25" s="908"/>
      <c r="AU25" s="908"/>
      <c r="AV25" s="908"/>
      <c r="AW25" s="908"/>
      <c r="AX25" s="908"/>
      <c r="AY25" s="908"/>
      <c r="AZ25" s="908"/>
      <c r="BA25" s="908"/>
      <c r="BB25" s="908"/>
      <c r="BC25" s="908"/>
      <c r="BD25" s="908"/>
      <c r="BE25" s="908"/>
      <c r="BF25" s="908"/>
      <c r="BG25" s="908"/>
      <c r="BH25" s="908"/>
      <c r="BI25" s="908"/>
      <c r="BJ25" s="908"/>
      <c r="BK25" s="908"/>
      <c r="BL25" s="908"/>
      <c r="BM25" s="908"/>
    </row>
    <row r="26" spans="2:65" ht="23.5" customHeight="1">
      <c r="B26" s="906" t="s">
        <v>294</v>
      </c>
      <c r="C26" s="906"/>
      <c r="D26" s="906"/>
      <c r="E26" s="906"/>
      <c r="F26" s="906"/>
      <c r="G26" s="906"/>
      <c r="H26" s="906"/>
      <c r="I26" s="906"/>
      <c r="J26" s="906"/>
      <c r="K26" s="906"/>
      <c r="L26" s="906"/>
      <c r="M26" s="906"/>
      <c r="N26" s="906"/>
      <c r="O26" s="906"/>
      <c r="P26" s="906"/>
      <c r="Q26" s="906"/>
      <c r="R26" s="906"/>
      <c r="S26" s="906"/>
      <c r="T26" s="906"/>
      <c r="U26" s="906"/>
      <c r="V26" s="906"/>
      <c r="W26" s="906"/>
      <c r="X26" s="906"/>
      <c r="Y26" s="906"/>
      <c r="Z26" s="906"/>
      <c r="AA26" s="906"/>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7" t="s">
        <v>295</v>
      </c>
      <c r="BG26" s="907"/>
      <c r="BH26" s="907"/>
      <c r="BI26" s="907"/>
      <c r="BJ26" s="907"/>
      <c r="BK26" s="907"/>
      <c r="BL26" s="907"/>
      <c r="BM26" s="907"/>
    </row>
  </sheetData>
  <mergeCells count="98">
    <mergeCell ref="AM8:AR8"/>
    <mergeCell ref="AS8:AX8"/>
    <mergeCell ref="AY8:BD8"/>
    <mergeCell ref="B9:E9"/>
    <mergeCell ref="F9:O9"/>
    <mergeCell ref="P9:AC9"/>
    <mergeCell ref="AD9:AF9"/>
    <mergeCell ref="AG9:AL9"/>
    <mergeCell ref="AM9:AR9"/>
    <mergeCell ref="AS9:AX9"/>
    <mergeCell ref="AY9:BD9"/>
    <mergeCell ref="B13:E13"/>
    <mergeCell ref="F13:O13"/>
    <mergeCell ref="P13:AC13"/>
    <mergeCell ref="AD13:AF13"/>
    <mergeCell ref="AG13:AL13"/>
    <mergeCell ref="AM13:AR13"/>
    <mergeCell ref="AS13:AX13"/>
    <mergeCell ref="BE9:BM9"/>
    <mergeCell ref="B10:E10"/>
    <mergeCell ref="F10:O10"/>
    <mergeCell ref="P10:AC10"/>
    <mergeCell ref="AD10:AF10"/>
    <mergeCell ref="AG10:AL10"/>
    <mergeCell ref="AM10:AR10"/>
    <mergeCell ref="AS10:AX10"/>
    <mergeCell ref="AY10:BD10"/>
    <mergeCell ref="BE10:BG10"/>
    <mergeCell ref="BH10:BJ10"/>
    <mergeCell ref="BK10:BM10"/>
    <mergeCell ref="AY11:BD11"/>
    <mergeCell ref="BE11:BG11"/>
    <mergeCell ref="BH11:BJ11"/>
    <mergeCell ref="BK11:BM11"/>
    <mergeCell ref="B12:E12"/>
    <mergeCell ref="F12:O12"/>
    <mergeCell ref="P12:AC12"/>
    <mergeCell ref="AD12:AF12"/>
    <mergeCell ref="AG12:AL12"/>
    <mergeCell ref="AM12:AR12"/>
    <mergeCell ref="B11:E11"/>
    <mergeCell ref="F11:O11"/>
    <mergeCell ref="P11:AC11"/>
    <mergeCell ref="AD11:AF11"/>
    <mergeCell ref="AG11:AL11"/>
    <mergeCell ref="AM11:AR11"/>
    <mergeCell ref="AS11:AX11"/>
    <mergeCell ref="AY13:BD13"/>
    <mergeCell ref="BE13:BG13"/>
    <mergeCell ref="BH13:BJ13"/>
    <mergeCell ref="BK13:BM13"/>
    <mergeCell ref="AS12:AX12"/>
    <mergeCell ref="AY12:BD12"/>
    <mergeCell ref="BE12:BG12"/>
    <mergeCell ref="BH12:BJ12"/>
    <mergeCell ref="BK12:BM12"/>
    <mergeCell ref="B15:E15"/>
    <mergeCell ref="F15:O15"/>
    <mergeCell ref="P15:AC15"/>
    <mergeCell ref="AD15:AF15"/>
    <mergeCell ref="AG15:AL15"/>
    <mergeCell ref="B14:E14"/>
    <mergeCell ref="F14:O14"/>
    <mergeCell ref="P14:AC14"/>
    <mergeCell ref="AD14:AF14"/>
    <mergeCell ref="AG14:AL14"/>
    <mergeCell ref="AM14:AR14"/>
    <mergeCell ref="AM16:AR16"/>
    <mergeCell ref="AS16:AX16"/>
    <mergeCell ref="AY16:BD16"/>
    <mergeCell ref="C20:BM20"/>
    <mergeCell ref="BK15:BM15"/>
    <mergeCell ref="AS14:AX14"/>
    <mergeCell ref="AY14:BD14"/>
    <mergeCell ref="BE14:BG14"/>
    <mergeCell ref="BH14:BJ14"/>
    <mergeCell ref="BK14:BM14"/>
    <mergeCell ref="AM15:AR15"/>
    <mergeCell ref="AS15:AX15"/>
    <mergeCell ref="AY15:BD15"/>
    <mergeCell ref="BE15:BG15"/>
    <mergeCell ref="BH15:BJ15"/>
    <mergeCell ref="K21:O21"/>
    <mergeCell ref="B23:O23"/>
    <mergeCell ref="P23:BM23"/>
    <mergeCell ref="AL21:AQ21"/>
    <mergeCell ref="P21:AK21"/>
    <mergeCell ref="P22:BM22"/>
    <mergeCell ref="AR21:BM21"/>
    <mergeCell ref="B21:E21"/>
    <mergeCell ref="F21:J21"/>
    <mergeCell ref="B26:BE26"/>
    <mergeCell ref="BF26:BM26"/>
    <mergeCell ref="B25:O25"/>
    <mergeCell ref="P25:BM25"/>
    <mergeCell ref="B22:O22"/>
    <mergeCell ref="B24:O24"/>
    <mergeCell ref="P24:BM24"/>
  </mergeCells>
  <phoneticPr fontId="41"/>
  <dataValidations count="2">
    <dataValidation type="list" allowBlank="1" showInputMessage="1" showErrorMessage="1" sqref="AD11:AD15" xr:uid="{00000000-0002-0000-0A00-000000000000}">
      <formula1>"(選択),購入,リース,レンタル"</formula1>
    </dataValidation>
    <dataValidation type="list" allowBlank="1" showInputMessage="1" showErrorMessage="1" error="プルダウンより選択してください" prompt="プルダウンより選択してください" sqref="BF26:BM26" xr:uid="{00000000-0002-0000-0A00-000001000000}">
      <formula1>"選択してください,関連あり,関連なし"</formula1>
    </dataValidation>
  </dataValidations>
  <pageMargins left="0.7" right="0.7" top="0.75" bottom="0.75" header="0.3" footer="0.3"/>
  <pageSetup paperSize="9" scale="57"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79998168889431442"/>
  </sheetPr>
  <dimension ref="B1:BM23"/>
  <sheetViews>
    <sheetView view="pageBreakPreview" zoomScale="291" zoomScaleNormal="100" zoomScaleSheetLayoutView="291" workbookViewId="0"/>
  </sheetViews>
  <sheetFormatPr baseColWidth="10" defaultColWidth="2" defaultRowHeight="18"/>
  <cols>
    <col min="1" max="1" width="0.83203125" style="94" customWidth="1"/>
    <col min="2" max="92" width="2" style="94"/>
    <col min="93" max="93" width="0.83203125" style="94" customWidth="1"/>
    <col min="94" max="110" width="2" style="94"/>
    <col min="111" max="111" width="2" style="94" customWidth="1"/>
    <col min="112" max="16384" width="2" style="94"/>
  </cols>
  <sheetData>
    <row r="1" spans="2:65">
      <c r="B1" s="106" t="s">
        <v>463</v>
      </c>
      <c r="C1" s="107"/>
      <c r="D1" s="107"/>
    </row>
    <row r="2" spans="2:65">
      <c r="B2" s="95"/>
      <c r="C2" s="94" t="s">
        <v>246</v>
      </c>
    </row>
    <row r="3" spans="2:65">
      <c r="C3" s="96" t="s">
        <v>530</v>
      </c>
    </row>
    <row r="4" spans="2:65">
      <c r="B4" s="101"/>
      <c r="C4" s="96" t="s">
        <v>423</v>
      </c>
      <c r="D4" s="101"/>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03" t="s">
        <v>247</v>
      </c>
      <c r="AN7" s="903"/>
      <c r="AO7" s="903"/>
      <c r="AP7" s="903"/>
      <c r="AQ7" s="903"/>
      <c r="AR7" s="903"/>
      <c r="AS7" s="903" t="s">
        <v>247</v>
      </c>
      <c r="AT7" s="903"/>
      <c r="AU7" s="903"/>
      <c r="AV7" s="903"/>
      <c r="AW7" s="903"/>
      <c r="AX7" s="903"/>
      <c r="AY7" s="903" t="s">
        <v>248</v>
      </c>
      <c r="AZ7" s="903"/>
      <c r="BA7" s="903"/>
      <c r="BB7" s="903"/>
      <c r="BC7" s="903"/>
      <c r="BD7" s="903"/>
      <c r="BE7" s="97"/>
      <c r="BF7" s="97"/>
      <c r="BG7" s="97"/>
      <c r="BH7" s="98"/>
      <c r="BI7" s="98"/>
      <c r="BJ7" s="97"/>
      <c r="BK7" s="97"/>
      <c r="BL7" s="97"/>
      <c r="BM7" s="99" t="s">
        <v>249</v>
      </c>
    </row>
    <row r="8" spans="2:65">
      <c r="B8" s="904" t="s">
        <v>250</v>
      </c>
      <c r="C8" s="891"/>
      <c r="D8" s="891"/>
      <c r="E8" s="892"/>
      <c r="F8" s="904" t="s">
        <v>251</v>
      </c>
      <c r="G8" s="891"/>
      <c r="H8" s="891"/>
      <c r="I8" s="891"/>
      <c r="J8" s="891"/>
      <c r="K8" s="891"/>
      <c r="L8" s="891"/>
      <c r="M8" s="891"/>
      <c r="N8" s="891"/>
      <c r="O8" s="892"/>
      <c r="P8" s="904" t="s">
        <v>252</v>
      </c>
      <c r="Q8" s="891"/>
      <c r="R8" s="891"/>
      <c r="S8" s="891"/>
      <c r="T8" s="891"/>
      <c r="U8" s="891"/>
      <c r="V8" s="891"/>
      <c r="W8" s="891"/>
      <c r="X8" s="891"/>
      <c r="Y8" s="891"/>
      <c r="Z8" s="891"/>
      <c r="AA8" s="891"/>
      <c r="AB8" s="891"/>
      <c r="AC8" s="892"/>
      <c r="AD8" s="904" t="s">
        <v>253</v>
      </c>
      <c r="AE8" s="891"/>
      <c r="AF8" s="892"/>
      <c r="AG8" s="904" t="s">
        <v>254</v>
      </c>
      <c r="AH8" s="891"/>
      <c r="AI8" s="891"/>
      <c r="AJ8" s="891"/>
      <c r="AK8" s="891"/>
      <c r="AL8" s="892"/>
      <c r="AM8" s="905" t="s">
        <v>255</v>
      </c>
      <c r="AN8" s="905"/>
      <c r="AO8" s="905"/>
      <c r="AP8" s="905"/>
      <c r="AQ8" s="905"/>
      <c r="AR8" s="905"/>
      <c r="AS8" s="904" t="s">
        <v>256</v>
      </c>
      <c r="AT8" s="891"/>
      <c r="AU8" s="891"/>
      <c r="AV8" s="891"/>
      <c r="AW8" s="891"/>
      <c r="AX8" s="892"/>
      <c r="AY8" s="904" t="s">
        <v>257</v>
      </c>
      <c r="AZ8" s="891"/>
      <c r="BA8" s="891"/>
      <c r="BB8" s="891"/>
      <c r="BC8" s="891"/>
      <c r="BD8" s="892"/>
      <c r="BE8" s="891" t="s">
        <v>258</v>
      </c>
      <c r="BF8" s="891"/>
      <c r="BG8" s="891"/>
      <c r="BH8" s="891"/>
      <c r="BI8" s="891"/>
      <c r="BJ8" s="891"/>
      <c r="BK8" s="891"/>
      <c r="BL8" s="891"/>
      <c r="BM8" s="892"/>
    </row>
    <row r="9" spans="2:65">
      <c r="B9" s="893" t="s">
        <v>259</v>
      </c>
      <c r="C9" s="894"/>
      <c r="D9" s="894"/>
      <c r="E9" s="895"/>
      <c r="F9" s="896"/>
      <c r="G9" s="897"/>
      <c r="H9" s="897"/>
      <c r="I9" s="897"/>
      <c r="J9" s="897"/>
      <c r="K9" s="897"/>
      <c r="L9" s="897"/>
      <c r="M9" s="897"/>
      <c r="N9" s="897"/>
      <c r="O9" s="898"/>
      <c r="P9" s="899" t="s">
        <v>260</v>
      </c>
      <c r="Q9" s="899"/>
      <c r="R9" s="899"/>
      <c r="S9" s="899"/>
      <c r="T9" s="899"/>
      <c r="U9" s="899"/>
      <c r="V9" s="899"/>
      <c r="W9" s="899"/>
      <c r="X9" s="899"/>
      <c r="Y9" s="899"/>
      <c r="Z9" s="899"/>
      <c r="AA9" s="899"/>
      <c r="AB9" s="899"/>
      <c r="AC9" s="899"/>
      <c r="AD9" s="899" t="s">
        <v>261</v>
      </c>
      <c r="AE9" s="899"/>
      <c r="AF9" s="899"/>
      <c r="AG9" s="899" t="s">
        <v>262</v>
      </c>
      <c r="AH9" s="899"/>
      <c r="AI9" s="899"/>
      <c r="AJ9" s="899"/>
      <c r="AK9" s="899"/>
      <c r="AL9" s="899"/>
      <c r="AM9" s="899" t="s">
        <v>263</v>
      </c>
      <c r="AN9" s="899"/>
      <c r="AO9" s="899"/>
      <c r="AP9" s="899"/>
      <c r="AQ9" s="899"/>
      <c r="AR9" s="899"/>
      <c r="AS9" s="899" t="s">
        <v>264</v>
      </c>
      <c r="AT9" s="899"/>
      <c r="AU9" s="899"/>
      <c r="AV9" s="899"/>
      <c r="AW9" s="899"/>
      <c r="AX9" s="899"/>
      <c r="AY9" s="899" t="s">
        <v>265</v>
      </c>
      <c r="AZ9" s="899"/>
      <c r="BA9" s="899"/>
      <c r="BB9" s="899"/>
      <c r="BC9" s="899"/>
      <c r="BD9" s="899"/>
      <c r="BE9" s="900" t="s">
        <v>266</v>
      </c>
      <c r="BF9" s="900"/>
      <c r="BG9" s="900"/>
      <c r="BH9" s="901" t="s">
        <v>267</v>
      </c>
      <c r="BI9" s="901"/>
      <c r="BJ9" s="901"/>
      <c r="BK9" s="902" t="s">
        <v>255</v>
      </c>
      <c r="BL9" s="902"/>
      <c r="BM9" s="902"/>
    </row>
    <row r="10" spans="2:65" ht="32.25" customHeight="1">
      <c r="B10" s="947" t="s">
        <v>296</v>
      </c>
      <c r="C10" s="881"/>
      <c r="D10" s="881"/>
      <c r="E10" s="881"/>
      <c r="F10" s="948"/>
      <c r="G10" s="949"/>
      <c r="H10" s="949"/>
      <c r="I10" s="949"/>
      <c r="J10" s="949"/>
      <c r="K10" s="949"/>
      <c r="L10" s="949"/>
      <c r="M10" s="949"/>
      <c r="N10" s="949"/>
      <c r="O10" s="949"/>
      <c r="P10" s="950"/>
      <c r="Q10" s="950"/>
      <c r="R10" s="950"/>
      <c r="S10" s="950"/>
      <c r="T10" s="950"/>
      <c r="U10" s="950"/>
      <c r="V10" s="950"/>
      <c r="W10" s="950"/>
      <c r="X10" s="950"/>
      <c r="Y10" s="950"/>
      <c r="Z10" s="950"/>
      <c r="AA10" s="950"/>
      <c r="AB10" s="950"/>
      <c r="AC10" s="950"/>
      <c r="AD10" s="884" t="s">
        <v>202</v>
      </c>
      <c r="AE10" s="884"/>
      <c r="AF10" s="884"/>
      <c r="AG10" s="951"/>
      <c r="AH10" s="951"/>
      <c r="AI10" s="951"/>
      <c r="AJ10" s="951"/>
      <c r="AK10" s="951"/>
      <c r="AL10" s="951"/>
      <c r="AM10" s="951"/>
      <c r="AN10" s="951"/>
      <c r="AO10" s="951"/>
      <c r="AP10" s="951"/>
      <c r="AQ10" s="951"/>
      <c r="AR10" s="951"/>
      <c r="AS10" s="886" t="str">
        <f>IF(AM10="","",AG10*AM10)</f>
        <v/>
      </c>
      <c r="AT10" s="886"/>
      <c r="AU10" s="886"/>
      <c r="AV10" s="886"/>
      <c r="AW10" s="886"/>
      <c r="AX10" s="886"/>
      <c r="AY10" s="886" t="str">
        <f>IF(AM10="","",ROUNDDOWN(AG10*AM10*1.1,0))</f>
        <v/>
      </c>
      <c r="AZ10" s="886"/>
      <c r="BA10" s="886"/>
      <c r="BB10" s="886"/>
      <c r="BC10" s="886"/>
      <c r="BD10" s="886"/>
      <c r="BE10" s="878" t="str">
        <f>IF(AS10="","",IF(AS10&gt;=300000,"必要",""))</f>
        <v/>
      </c>
      <c r="BF10" s="878"/>
      <c r="BG10" s="878"/>
      <c r="BH10" s="878" t="str">
        <f>IF(AS10="","",IF(AS10&gt;=1000000,"必要",""))</f>
        <v/>
      </c>
      <c r="BI10" s="878"/>
      <c r="BJ10" s="878"/>
      <c r="BK10" s="879" t="str">
        <f>IF(AM10="","",IF(AM10&lt;100000,"×","〇"))</f>
        <v/>
      </c>
      <c r="BL10" s="879"/>
      <c r="BM10" s="879"/>
    </row>
    <row r="11" spans="2:65" ht="32.25" customHeight="1">
      <c r="B11" s="881" t="s">
        <v>297</v>
      </c>
      <c r="C11" s="881"/>
      <c r="D11" s="881"/>
      <c r="E11" s="881"/>
      <c r="F11" s="934"/>
      <c r="G11" s="934"/>
      <c r="H11" s="934"/>
      <c r="I11" s="934"/>
      <c r="J11" s="934"/>
      <c r="K11" s="934"/>
      <c r="L11" s="934"/>
      <c r="M11" s="934"/>
      <c r="N11" s="934"/>
      <c r="O11" s="934"/>
      <c r="P11" s="934"/>
      <c r="Q11" s="934"/>
      <c r="R11" s="934"/>
      <c r="S11" s="934"/>
      <c r="T11" s="934"/>
      <c r="U11" s="934"/>
      <c r="V11" s="934"/>
      <c r="W11" s="934"/>
      <c r="X11" s="934"/>
      <c r="Y11" s="934"/>
      <c r="Z11" s="934"/>
      <c r="AA11" s="934"/>
      <c r="AB11" s="934"/>
      <c r="AC11" s="934"/>
      <c r="AD11" s="884" t="s">
        <v>202</v>
      </c>
      <c r="AE11" s="884"/>
      <c r="AF11" s="884"/>
      <c r="AG11" s="885"/>
      <c r="AH11" s="885"/>
      <c r="AI11" s="885"/>
      <c r="AJ11" s="885"/>
      <c r="AK11" s="885"/>
      <c r="AL11" s="885"/>
      <c r="AM11" s="885"/>
      <c r="AN11" s="885"/>
      <c r="AO11" s="885"/>
      <c r="AP11" s="885"/>
      <c r="AQ11" s="885"/>
      <c r="AR11" s="885"/>
      <c r="AS11" s="886" t="str">
        <f>IF(AM11="","",AG11*AM11)</f>
        <v/>
      </c>
      <c r="AT11" s="886"/>
      <c r="AU11" s="886"/>
      <c r="AV11" s="886"/>
      <c r="AW11" s="886"/>
      <c r="AX11" s="886"/>
      <c r="AY11" s="886" t="str">
        <f>IF(AM11="","",ROUNDDOWN(AG11*AM11*1.1,0))</f>
        <v/>
      </c>
      <c r="AZ11" s="886"/>
      <c r="BA11" s="886"/>
      <c r="BB11" s="886"/>
      <c r="BC11" s="886"/>
      <c r="BD11" s="886"/>
      <c r="BE11" s="878" t="str">
        <f>IF(AS11="","",IF(AS11&gt;=300000,"必要",""))</f>
        <v/>
      </c>
      <c r="BF11" s="878"/>
      <c r="BG11" s="878"/>
      <c r="BH11" s="878" t="str">
        <f>IF(AS11="","",IF(AS11&gt;=1000000,"必要",""))</f>
        <v/>
      </c>
      <c r="BI11" s="878"/>
      <c r="BJ11" s="878"/>
      <c r="BK11" s="879" t="str">
        <f>IF(AM11="","",IF(AM11&lt;100000,"×","〇"))</f>
        <v/>
      </c>
      <c r="BL11" s="879"/>
      <c r="BM11" s="879"/>
    </row>
    <row r="12" spans="2:65" ht="32.25" customHeight="1">
      <c r="B12" s="881" t="s">
        <v>298</v>
      </c>
      <c r="C12" s="881"/>
      <c r="D12" s="881"/>
      <c r="E12" s="881"/>
      <c r="F12" s="934"/>
      <c r="G12" s="934"/>
      <c r="H12" s="934"/>
      <c r="I12" s="934"/>
      <c r="J12" s="934"/>
      <c r="K12" s="934"/>
      <c r="L12" s="934"/>
      <c r="M12" s="934"/>
      <c r="N12" s="934"/>
      <c r="O12" s="934"/>
      <c r="P12" s="934"/>
      <c r="Q12" s="934"/>
      <c r="R12" s="934"/>
      <c r="S12" s="934"/>
      <c r="T12" s="934"/>
      <c r="U12" s="934"/>
      <c r="V12" s="934"/>
      <c r="W12" s="934"/>
      <c r="X12" s="934"/>
      <c r="Y12" s="934"/>
      <c r="Z12" s="934"/>
      <c r="AA12" s="934"/>
      <c r="AB12" s="934"/>
      <c r="AC12" s="934"/>
      <c r="AD12" s="884" t="s">
        <v>202</v>
      </c>
      <c r="AE12" s="884"/>
      <c r="AF12" s="884"/>
      <c r="AG12" s="885"/>
      <c r="AH12" s="885"/>
      <c r="AI12" s="885"/>
      <c r="AJ12" s="885"/>
      <c r="AK12" s="885"/>
      <c r="AL12" s="885"/>
      <c r="AM12" s="885"/>
      <c r="AN12" s="885"/>
      <c r="AO12" s="885"/>
      <c r="AP12" s="885"/>
      <c r="AQ12" s="885"/>
      <c r="AR12" s="885"/>
      <c r="AS12" s="886" t="str">
        <f>IF(AM12="","",AG12*AM12)</f>
        <v/>
      </c>
      <c r="AT12" s="886"/>
      <c r="AU12" s="886"/>
      <c r="AV12" s="886"/>
      <c r="AW12" s="886"/>
      <c r="AX12" s="886"/>
      <c r="AY12" s="886" t="str">
        <f>IF(AM12="","",ROUNDDOWN(AG12*AM12*1.1,0))</f>
        <v/>
      </c>
      <c r="AZ12" s="886"/>
      <c r="BA12" s="886"/>
      <c r="BB12" s="886"/>
      <c r="BC12" s="886"/>
      <c r="BD12" s="886"/>
      <c r="BE12" s="878" t="str">
        <f>IF(AS12="","",IF(AS12&gt;=300000,"必要",""))</f>
        <v/>
      </c>
      <c r="BF12" s="878"/>
      <c r="BG12" s="878"/>
      <c r="BH12" s="878" t="str">
        <f>IF(AS12="","",IF(AS12&gt;=1000000,"必要",""))</f>
        <v/>
      </c>
      <c r="BI12" s="878"/>
      <c r="BJ12" s="878"/>
      <c r="BK12" s="879" t="str">
        <f>IF(AM12="","",IF(AM12&lt;100000,"×","〇"))</f>
        <v/>
      </c>
      <c r="BL12" s="879"/>
      <c r="BM12" s="879"/>
    </row>
    <row r="13" spans="2:65" ht="32.25" customHeight="1">
      <c r="B13" s="881" t="s">
        <v>299</v>
      </c>
      <c r="C13" s="881"/>
      <c r="D13" s="881"/>
      <c r="E13" s="881"/>
      <c r="F13" s="934"/>
      <c r="G13" s="934"/>
      <c r="H13" s="934"/>
      <c r="I13" s="934"/>
      <c r="J13" s="934"/>
      <c r="K13" s="934"/>
      <c r="L13" s="934"/>
      <c r="M13" s="934"/>
      <c r="N13" s="934"/>
      <c r="O13" s="934"/>
      <c r="P13" s="934"/>
      <c r="Q13" s="934"/>
      <c r="R13" s="934"/>
      <c r="S13" s="934"/>
      <c r="T13" s="934"/>
      <c r="U13" s="934"/>
      <c r="V13" s="934"/>
      <c r="W13" s="934"/>
      <c r="X13" s="934"/>
      <c r="Y13" s="934"/>
      <c r="Z13" s="934"/>
      <c r="AA13" s="934"/>
      <c r="AB13" s="934"/>
      <c r="AC13" s="934"/>
      <c r="AD13" s="884" t="s">
        <v>202</v>
      </c>
      <c r="AE13" s="884"/>
      <c r="AF13" s="884"/>
      <c r="AG13" s="885"/>
      <c r="AH13" s="885"/>
      <c r="AI13" s="885"/>
      <c r="AJ13" s="885"/>
      <c r="AK13" s="885"/>
      <c r="AL13" s="885"/>
      <c r="AM13" s="885"/>
      <c r="AN13" s="885"/>
      <c r="AO13" s="885"/>
      <c r="AP13" s="885"/>
      <c r="AQ13" s="885"/>
      <c r="AR13" s="885"/>
      <c r="AS13" s="886" t="str">
        <f>IF(AM13="","",AG13*AM13)</f>
        <v/>
      </c>
      <c r="AT13" s="886"/>
      <c r="AU13" s="886"/>
      <c r="AV13" s="886"/>
      <c r="AW13" s="886"/>
      <c r="AX13" s="886"/>
      <c r="AY13" s="886" t="str">
        <f>IF(AM13="","",ROUNDDOWN(AG13*AM13*1.1,0))</f>
        <v/>
      </c>
      <c r="AZ13" s="886"/>
      <c r="BA13" s="886"/>
      <c r="BB13" s="886"/>
      <c r="BC13" s="886"/>
      <c r="BD13" s="886"/>
      <c r="BE13" s="878" t="str">
        <f>IF(AS13="","",IF(AS13&gt;=300000,"必要",""))</f>
        <v/>
      </c>
      <c r="BF13" s="878"/>
      <c r="BG13" s="878"/>
      <c r="BH13" s="878" t="str">
        <f>IF(AS13="","",IF(AS13&gt;=1000000,"必要",""))</f>
        <v/>
      </c>
      <c r="BI13" s="878"/>
      <c r="BJ13" s="878"/>
      <c r="BK13" s="879" t="str">
        <f>IF(AM13="","",IF(AM13&lt;100000,"×","〇"))</f>
        <v/>
      </c>
      <c r="BL13" s="879"/>
      <c r="BM13" s="879"/>
    </row>
    <row r="14" spans="2:65" ht="32.25" customHeight="1">
      <c r="B14" s="881" t="s">
        <v>300</v>
      </c>
      <c r="C14" s="881"/>
      <c r="D14" s="881"/>
      <c r="E14" s="881"/>
      <c r="F14" s="934"/>
      <c r="G14" s="934"/>
      <c r="H14" s="934"/>
      <c r="I14" s="934"/>
      <c r="J14" s="934"/>
      <c r="K14" s="934"/>
      <c r="L14" s="934"/>
      <c r="M14" s="934"/>
      <c r="N14" s="934"/>
      <c r="O14" s="934"/>
      <c r="P14" s="934"/>
      <c r="Q14" s="934"/>
      <c r="R14" s="934"/>
      <c r="S14" s="934"/>
      <c r="T14" s="934"/>
      <c r="U14" s="934"/>
      <c r="V14" s="934"/>
      <c r="W14" s="934"/>
      <c r="X14" s="934"/>
      <c r="Y14" s="934"/>
      <c r="Z14" s="934"/>
      <c r="AA14" s="934"/>
      <c r="AB14" s="934"/>
      <c r="AC14" s="934"/>
      <c r="AD14" s="884" t="s">
        <v>202</v>
      </c>
      <c r="AE14" s="884"/>
      <c r="AF14" s="884"/>
      <c r="AG14" s="885"/>
      <c r="AH14" s="885"/>
      <c r="AI14" s="885"/>
      <c r="AJ14" s="885"/>
      <c r="AK14" s="885"/>
      <c r="AL14" s="885"/>
      <c r="AM14" s="885"/>
      <c r="AN14" s="885"/>
      <c r="AO14" s="885"/>
      <c r="AP14" s="885"/>
      <c r="AQ14" s="885"/>
      <c r="AR14" s="885"/>
      <c r="AS14" s="886" t="str">
        <f>IF(AM14="","",AG14*AM14)</f>
        <v/>
      </c>
      <c r="AT14" s="886"/>
      <c r="AU14" s="886"/>
      <c r="AV14" s="886"/>
      <c r="AW14" s="886"/>
      <c r="AX14" s="886"/>
      <c r="AY14" s="886" t="str">
        <f>IF(AM14="","",ROUNDDOWN(AG14*AM14*1.1,0))</f>
        <v/>
      </c>
      <c r="AZ14" s="886"/>
      <c r="BA14" s="886"/>
      <c r="BB14" s="886"/>
      <c r="BC14" s="886"/>
      <c r="BD14" s="886"/>
      <c r="BE14" s="878" t="str">
        <f>IF(AS14="","",IF(AS14&gt;=300000,"必要",""))</f>
        <v/>
      </c>
      <c r="BF14" s="878"/>
      <c r="BG14" s="878"/>
      <c r="BH14" s="878" t="str">
        <f>IF(AS14="","",IF(AS14&gt;=1000000,"必要",""))</f>
        <v/>
      </c>
      <c r="BI14" s="878"/>
      <c r="BJ14" s="878"/>
      <c r="BK14" s="879" t="str">
        <f>IF(AM14="","",IF(AM14&lt;100000,"×","〇"))</f>
        <v/>
      </c>
      <c r="BL14" s="879"/>
      <c r="BM14" s="879"/>
    </row>
    <row r="15" spans="2:65" ht="32.25" customHeight="1">
      <c r="AM15" s="887" t="s">
        <v>34</v>
      </c>
      <c r="AN15" s="887"/>
      <c r="AO15" s="887"/>
      <c r="AP15" s="887"/>
      <c r="AQ15" s="887"/>
      <c r="AR15" s="888"/>
      <c r="AS15" s="889">
        <f>SUM(AS10:AX14)</f>
        <v>0</v>
      </c>
      <c r="AT15" s="889"/>
      <c r="AU15" s="889"/>
      <c r="AV15" s="889"/>
      <c r="AW15" s="889"/>
      <c r="AX15" s="889"/>
      <c r="AY15" s="889">
        <f>SUM(AY10:BD14)</f>
        <v>0</v>
      </c>
      <c r="AZ15" s="889"/>
      <c r="BA15" s="889"/>
      <c r="BB15" s="889"/>
      <c r="BC15" s="889"/>
      <c r="BD15" s="889"/>
    </row>
    <row r="16" spans="2:65">
      <c r="B16" s="94" t="s">
        <v>301</v>
      </c>
    </row>
    <row r="17" spans="2:65">
      <c r="C17" s="222" t="s">
        <v>302</v>
      </c>
    </row>
    <row r="18" spans="2:65">
      <c r="C18" s="94" t="s">
        <v>303</v>
      </c>
    </row>
    <row r="19" spans="2:65" ht="23.5" customHeight="1">
      <c r="B19" s="937" t="s">
        <v>304</v>
      </c>
      <c r="C19" s="938"/>
      <c r="D19" s="938"/>
      <c r="E19" s="939"/>
      <c r="F19" s="944"/>
      <c r="G19" s="945"/>
      <c r="H19" s="945"/>
      <c r="I19" s="945"/>
      <c r="J19" s="946"/>
      <c r="K19" s="952" t="s">
        <v>433</v>
      </c>
      <c r="L19" s="953"/>
      <c r="M19" s="953"/>
      <c r="N19" s="953"/>
      <c r="O19" s="954"/>
      <c r="P19" s="944"/>
      <c r="Q19" s="945"/>
      <c r="R19" s="945"/>
      <c r="S19" s="945"/>
      <c r="T19" s="945"/>
      <c r="U19" s="945"/>
      <c r="V19" s="945"/>
      <c r="W19" s="945"/>
      <c r="X19" s="945"/>
      <c r="Y19" s="945"/>
      <c r="Z19" s="945"/>
      <c r="AA19" s="945"/>
      <c r="AB19" s="945"/>
      <c r="AC19" s="945"/>
      <c r="AD19" s="945"/>
      <c r="AE19" s="945"/>
      <c r="AF19" s="945"/>
      <c r="AG19" s="945"/>
      <c r="AH19" s="945"/>
      <c r="AI19" s="945"/>
      <c r="AJ19" s="945"/>
      <c r="AK19" s="945"/>
      <c r="AL19" s="945"/>
      <c r="AM19" s="945"/>
      <c r="AN19" s="945"/>
      <c r="AO19" s="945"/>
      <c r="AP19" s="945"/>
      <c r="AQ19" s="945"/>
      <c r="AR19" s="945"/>
      <c r="AS19" s="945"/>
      <c r="AT19" s="945"/>
      <c r="AU19" s="945"/>
      <c r="AV19" s="945"/>
      <c r="AW19" s="945"/>
      <c r="AX19" s="945"/>
      <c r="AY19" s="945"/>
      <c r="AZ19" s="945"/>
      <c r="BA19" s="945"/>
      <c r="BB19" s="945"/>
      <c r="BC19" s="945"/>
      <c r="BD19" s="945"/>
      <c r="BE19" s="945"/>
      <c r="BF19" s="945"/>
      <c r="BG19" s="945"/>
      <c r="BH19" s="945"/>
      <c r="BI19" s="945"/>
      <c r="BJ19" s="945"/>
      <c r="BK19" s="945"/>
      <c r="BL19" s="945"/>
      <c r="BM19" s="946"/>
    </row>
    <row r="20" spans="2:65" ht="23.5" customHeight="1">
      <c r="B20" s="937" t="s">
        <v>307</v>
      </c>
      <c r="C20" s="938"/>
      <c r="D20" s="938"/>
      <c r="E20" s="938"/>
      <c r="F20" s="938"/>
      <c r="G20" s="938"/>
      <c r="H20" s="938"/>
      <c r="I20" s="938"/>
      <c r="J20" s="938"/>
      <c r="K20" s="938"/>
      <c r="L20" s="938"/>
      <c r="M20" s="938"/>
      <c r="N20" s="938"/>
      <c r="O20" s="939"/>
      <c r="P20" s="941"/>
      <c r="Q20" s="942"/>
      <c r="R20" s="942"/>
      <c r="S20" s="942"/>
      <c r="T20" s="942"/>
      <c r="U20" s="942"/>
      <c r="V20" s="942"/>
      <c r="W20" s="942"/>
      <c r="X20" s="942"/>
      <c r="Y20" s="942"/>
      <c r="Z20" s="942"/>
      <c r="AA20" s="942"/>
      <c r="AB20" s="942"/>
      <c r="AC20" s="942"/>
      <c r="AD20" s="942"/>
      <c r="AE20" s="942"/>
      <c r="AF20" s="942"/>
      <c r="AG20" s="942"/>
      <c r="AH20" s="942"/>
      <c r="AI20" s="942"/>
      <c r="AJ20" s="942"/>
      <c r="AK20" s="942"/>
      <c r="AL20" s="942"/>
      <c r="AM20" s="942"/>
      <c r="AN20" s="942"/>
      <c r="AO20" s="942"/>
      <c r="AP20" s="942"/>
      <c r="AQ20" s="942"/>
      <c r="AR20" s="942"/>
      <c r="AS20" s="942"/>
      <c r="AT20" s="942"/>
      <c r="AU20" s="942"/>
      <c r="AV20" s="942"/>
      <c r="AW20" s="942"/>
      <c r="AX20" s="942"/>
      <c r="AY20" s="942"/>
      <c r="AZ20" s="942"/>
      <c r="BA20" s="942"/>
      <c r="BB20" s="942"/>
      <c r="BC20" s="942"/>
      <c r="BD20" s="942"/>
      <c r="BE20" s="942"/>
      <c r="BF20" s="942"/>
      <c r="BG20" s="942"/>
      <c r="BH20" s="942"/>
      <c r="BI20" s="942"/>
      <c r="BJ20" s="942"/>
      <c r="BK20" s="942"/>
      <c r="BL20" s="942"/>
      <c r="BM20" s="943"/>
    </row>
    <row r="21" spans="2:65" ht="23.5" customHeight="1">
      <c r="B21" s="937" t="s">
        <v>305</v>
      </c>
      <c r="C21" s="938"/>
      <c r="D21" s="938"/>
      <c r="E21" s="938"/>
      <c r="F21" s="938"/>
      <c r="G21" s="938"/>
      <c r="H21" s="938"/>
      <c r="I21" s="938"/>
      <c r="J21" s="938"/>
      <c r="K21" s="938"/>
      <c r="L21" s="938"/>
      <c r="M21" s="938"/>
      <c r="N21" s="938"/>
      <c r="O21" s="939"/>
      <c r="P21" s="944" t="s">
        <v>306</v>
      </c>
      <c r="Q21" s="945"/>
      <c r="R21" s="945"/>
      <c r="S21" s="945"/>
      <c r="T21" s="945"/>
      <c r="U21" s="945"/>
      <c r="V21" s="945"/>
      <c r="W21" s="945"/>
      <c r="X21" s="945"/>
      <c r="Y21" s="945"/>
      <c r="Z21" s="945"/>
      <c r="AA21" s="945"/>
      <c r="AB21" s="945"/>
      <c r="AC21" s="945"/>
      <c r="AD21" s="945"/>
      <c r="AE21" s="945"/>
      <c r="AF21" s="945"/>
      <c r="AG21" s="945"/>
      <c r="AH21" s="945"/>
      <c r="AI21" s="945"/>
      <c r="AJ21" s="945"/>
      <c r="AK21" s="945"/>
      <c r="AL21" s="945"/>
      <c r="AM21" s="945"/>
      <c r="AN21" s="945"/>
      <c r="AO21" s="945"/>
      <c r="AP21" s="945"/>
      <c r="AQ21" s="945"/>
      <c r="AR21" s="945"/>
      <c r="AS21" s="945"/>
      <c r="AT21" s="945"/>
      <c r="AU21" s="945"/>
      <c r="AV21" s="945"/>
      <c r="AW21" s="945"/>
      <c r="AX21" s="945"/>
      <c r="AY21" s="945"/>
      <c r="AZ21" s="945"/>
      <c r="BA21" s="945"/>
      <c r="BB21" s="945"/>
      <c r="BC21" s="945"/>
      <c r="BD21" s="945"/>
      <c r="BE21" s="945"/>
      <c r="BF21" s="945"/>
      <c r="BG21" s="945"/>
      <c r="BH21" s="945"/>
      <c r="BI21" s="945"/>
      <c r="BJ21" s="945"/>
      <c r="BK21" s="945"/>
      <c r="BL21" s="945"/>
      <c r="BM21" s="946"/>
    </row>
    <row r="22" spans="2:65" ht="23.5" customHeight="1">
      <c r="B22" s="937" t="s">
        <v>308</v>
      </c>
      <c r="C22" s="938"/>
      <c r="D22" s="938"/>
      <c r="E22" s="938"/>
      <c r="F22" s="938"/>
      <c r="G22" s="938"/>
      <c r="H22" s="938"/>
      <c r="I22" s="938"/>
      <c r="J22" s="938"/>
      <c r="K22" s="938"/>
      <c r="L22" s="938"/>
      <c r="M22" s="938"/>
      <c r="N22" s="938"/>
      <c r="O22" s="939"/>
      <c r="P22" s="941"/>
      <c r="Q22" s="942"/>
      <c r="R22" s="942"/>
      <c r="S22" s="942"/>
      <c r="T22" s="942"/>
      <c r="U22" s="942"/>
      <c r="V22" s="942"/>
      <c r="W22" s="942"/>
      <c r="X22" s="942"/>
      <c r="Y22" s="942"/>
      <c r="Z22" s="942"/>
      <c r="AA22" s="942"/>
      <c r="AB22" s="942"/>
      <c r="AC22" s="942"/>
      <c r="AD22" s="942"/>
      <c r="AE22" s="942"/>
      <c r="AF22" s="942"/>
      <c r="AG22" s="942"/>
      <c r="AH22" s="942"/>
      <c r="AI22" s="942"/>
      <c r="AJ22" s="942"/>
      <c r="AK22" s="942"/>
      <c r="AL22" s="942"/>
      <c r="AM22" s="942"/>
      <c r="AN22" s="942"/>
      <c r="AO22" s="942"/>
      <c r="AP22" s="942"/>
      <c r="AQ22" s="942"/>
      <c r="AR22" s="942"/>
      <c r="AS22" s="942"/>
      <c r="AT22" s="942"/>
      <c r="AU22" s="942"/>
      <c r="AV22" s="942"/>
      <c r="AW22" s="942"/>
      <c r="AX22" s="942"/>
      <c r="AY22" s="942"/>
      <c r="AZ22" s="942"/>
      <c r="BA22" s="942"/>
      <c r="BB22" s="942"/>
      <c r="BC22" s="942"/>
      <c r="BD22" s="942"/>
      <c r="BE22" s="942"/>
      <c r="BF22" s="942"/>
      <c r="BG22" s="942"/>
      <c r="BH22" s="942"/>
      <c r="BI22" s="942"/>
      <c r="BJ22" s="942"/>
      <c r="BK22" s="942"/>
      <c r="BL22" s="942"/>
      <c r="BM22" s="943"/>
    </row>
    <row r="23" spans="2:65" ht="23.5" customHeight="1">
      <c r="B23" s="940" t="s">
        <v>309</v>
      </c>
      <c r="C23" s="940"/>
      <c r="D23" s="940"/>
      <c r="E23" s="940"/>
      <c r="F23" s="940"/>
      <c r="G23" s="940"/>
      <c r="H23" s="940"/>
      <c r="I23" s="940"/>
      <c r="J23" s="940"/>
      <c r="K23" s="940"/>
      <c r="L23" s="940"/>
      <c r="M23" s="940"/>
      <c r="N23" s="940"/>
      <c r="O23" s="940"/>
      <c r="P23" s="940"/>
      <c r="Q23" s="940"/>
      <c r="R23" s="940"/>
      <c r="S23" s="940"/>
      <c r="T23" s="940"/>
      <c r="U23" s="940"/>
      <c r="V23" s="940"/>
      <c r="W23" s="940"/>
      <c r="X23" s="940"/>
      <c r="Y23" s="940"/>
      <c r="Z23" s="940"/>
      <c r="AA23" s="940"/>
      <c r="AB23" s="940"/>
      <c r="AC23" s="940"/>
      <c r="AD23" s="940"/>
      <c r="AE23" s="940"/>
      <c r="AF23" s="940"/>
      <c r="AG23" s="940"/>
      <c r="AH23" s="940"/>
      <c r="AI23" s="940"/>
      <c r="AJ23" s="940"/>
      <c r="AK23" s="940"/>
      <c r="AL23" s="940"/>
      <c r="AM23" s="940"/>
      <c r="AN23" s="940"/>
      <c r="AO23" s="940"/>
      <c r="AP23" s="940"/>
      <c r="AQ23" s="940"/>
      <c r="AR23" s="940"/>
      <c r="AS23" s="940"/>
      <c r="AT23" s="940"/>
      <c r="AU23" s="940"/>
      <c r="AV23" s="940"/>
      <c r="AW23" s="940"/>
      <c r="AX23" s="940"/>
      <c r="AY23" s="940"/>
      <c r="AZ23" s="940"/>
      <c r="BA23" s="940"/>
      <c r="BB23" s="940"/>
      <c r="BC23" s="940"/>
      <c r="BD23" s="940"/>
      <c r="BE23" s="940"/>
      <c r="BF23" s="907" t="s">
        <v>295</v>
      </c>
      <c r="BG23" s="907"/>
      <c r="BH23" s="907"/>
      <c r="BI23" s="907"/>
      <c r="BJ23" s="907"/>
      <c r="BK23" s="907"/>
      <c r="BL23" s="907"/>
      <c r="BM23" s="907"/>
    </row>
  </sheetData>
  <mergeCells count="93">
    <mergeCell ref="P20:BM20"/>
    <mergeCell ref="B12:E12"/>
    <mergeCell ref="F12:O12"/>
    <mergeCell ref="P12:AC12"/>
    <mergeCell ref="F19:J19"/>
    <mergeCell ref="K19:O19"/>
    <mergeCell ref="P19:BM19"/>
    <mergeCell ref="AD12:AF12"/>
    <mergeCell ref="AG12:AL12"/>
    <mergeCell ref="AM12:AR12"/>
    <mergeCell ref="AS12:AX12"/>
    <mergeCell ref="AY12:BD12"/>
    <mergeCell ref="BE12:BG12"/>
    <mergeCell ref="BH12:BJ12"/>
    <mergeCell ref="BE13:BG13"/>
    <mergeCell ref="BH13:BJ13"/>
    <mergeCell ref="AM7:AR7"/>
    <mergeCell ref="AS7:AX7"/>
    <mergeCell ref="AY7:BD7"/>
    <mergeCell ref="B8:E8"/>
    <mergeCell ref="F8:O8"/>
    <mergeCell ref="P8:AC8"/>
    <mergeCell ref="AD8:AF8"/>
    <mergeCell ref="AG8:AL8"/>
    <mergeCell ref="AM8:AR8"/>
    <mergeCell ref="AS8:AX8"/>
    <mergeCell ref="AY8:BD8"/>
    <mergeCell ref="BE8:BM8"/>
    <mergeCell ref="AM9:AR9"/>
    <mergeCell ref="AS9:AX9"/>
    <mergeCell ref="AY9:BD9"/>
    <mergeCell ref="BE9:BG9"/>
    <mergeCell ref="BH9:BJ9"/>
    <mergeCell ref="BK9:BM9"/>
    <mergeCell ref="AY10:BD10"/>
    <mergeCell ref="BE10:BG10"/>
    <mergeCell ref="BH10:BJ10"/>
    <mergeCell ref="BK10:BM10"/>
    <mergeCell ref="AM11:AR11"/>
    <mergeCell ref="AM10:AR10"/>
    <mergeCell ref="AS10:AX10"/>
    <mergeCell ref="B9:E9"/>
    <mergeCell ref="F9:O9"/>
    <mergeCell ref="P9:AC9"/>
    <mergeCell ref="AD9:AF9"/>
    <mergeCell ref="AG9:AL9"/>
    <mergeCell ref="B11:E11"/>
    <mergeCell ref="F11:O11"/>
    <mergeCell ref="P11:AC11"/>
    <mergeCell ref="AD11:AF11"/>
    <mergeCell ref="AG11:AL11"/>
    <mergeCell ref="B10:E10"/>
    <mergeCell ref="F10:O10"/>
    <mergeCell ref="P10:AC10"/>
    <mergeCell ref="AD10:AF10"/>
    <mergeCell ref="AG10:AL10"/>
    <mergeCell ref="BK13:BM13"/>
    <mergeCell ref="BK12:BM12"/>
    <mergeCell ref="AS11:AX11"/>
    <mergeCell ref="AY11:BD11"/>
    <mergeCell ref="BE11:BG11"/>
    <mergeCell ref="BH11:BJ11"/>
    <mergeCell ref="BK11:BM11"/>
    <mergeCell ref="B13:E13"/>
    <mergeCell ref="F13:O13"/>
    <mergeCell ref="P13:AC13"/>
    <mergeCell ref="AD13:AF13"/>
    <mergeCell ref="AG13:AL13"/>
    <mergeCell ref="AM13:AR13"/>
    <mergeCell ref="AM15:AR15"/>
    <mergeCell ref="AS15:AX15"/>
    <mergeCell ref="AY15:BD15"/>
    <mergeCell ref="AM14:AR14"/>
    <mergeCell ref="AS14:AX14"/>
    <mergeCell ref="AY14:BD14"/>
    <mergeCell ref="AS13:AX13"/>
    <mergeCell ref="AY13:BD13"/>
    <mergeCell ref="B22:O22"/>
    <mergeCell ref="B23:BE23"/>
    <mergeCell ref="BF23:BM23"/>
    <mergeCell ref="BE14:BG14"/>
    <mergeCell ref="BH14:BJ14"/>
    <mergeCell ref="BK14:BM14"/>
    <mergeCell ref="B21:O21"/>
    <mergeCell ref="B20:O20"/>
    <mergeCell ref="B14:E14"/>
    <mergeCell ref="F14:O14"/>
    <mergeCell ref="P14:AC14"/>
    <mergeCell ref="AD14:AF14"/>
    <mergeCell ref="AG14:AL14"/>
    <mergeCell ref="P22:BM22"/>
    <mergeCell ref="B19:E19"/>
    <mergeCell ref="P21:BM21"/>
  </mergeCells>
  <phoneticPr fontId="41"/>
  <dataValidations count="2">
    <dataValidation type="list" allowBlank="1" showInputMessage="1" showErrorMessage="1" sqref="AD10:AD14" xr:uid="{00000000-0002-0000-0B00-000000000000}">
      <formula1>"(選択),購入,リース,レンタル"</formula1>
    </dataValidation>
    <dataValidation type="list" allowBlank="1" showInputMessage="1" showErrorMessage="1" error="プルダウンより選択してください" prompt="プルダウンより選択してください" sqref="BF23:BM23" xr:uid="{00000000-0002-0000-0B00-000001000000}">
      <formula1>"選択してください,関連あり,関連なし"</formula1>
    </dataValidation>
  </dataValidations>
  <pageMargins left="0.7" right="0.7" top="0.75" bottom="0.75" header="0.3" footer="0.3"/>
  <pageSetup paperSize="9" scale="57"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79998168889431442"/>
  </sheetPr>
  <dimension ref="B1:BM31"/>
  <sheetViews>
    <sheetView view="pageBreakPreview" zoomScale="282" zoomScaleNormal="100" zoomScaleSheetLayoutView="282" workbookViewId="0"/>
  </sheetViews>
  <sheetFormatPr baseColWidth="10" defaultColWidth="2" defaultRowHeight="18"/>
  <cols>
    <col min="1" max="1" width="0.83203125" style="94" customWidth="1"/>
    <col min="2" max="17" width="2" style="94"/>
    <col min="18" max="20" width="2" style="94" customWidth="1"/>
    <col min="21" max="34" width="2" style="94"/>
    <col min="35" max="38" width="2" style="94" customWidth="1"/>
    <col min="39" max="42" width="2" style="94"/>
    <col min="43" max="44" width="2" style="94" customWidth="1"/>
    <col min="45" max="47" width="2" style="94"/>
    <col min="48" max="50" width="2" style="94" customWidth="1"/>
    <col min="51" max="60" width="2" style="94"/>
    <col min="61" max="64" width="2" style="94" customWidth="1"/>
    <col min="65" max="76" width="2" style="94"/>
    <col min="77" max="84" width="2" style="94" customWidth="1"/>
    <col min="85" max="121" width="2" style="94"/>
    <col min="122" max="122" width="0.83203125" style="94" customWidth="1"/>
    <col min="123" max="139" width="2" style="94"/>
    <col min="140" max="140" width="2" style="94" customWidth="1"/>
    <col min="141" max="16384" width="2" style="94"/>
  </cols>
  <sheetData>
    <row r="1" spans="2:65">
      <c r="B1" s="108" t="s">
        <v>464</v>
      </c>
    </row>
    <row r="2" spans="2:65">
      <c r="B2" s="95"/>
      <c r="C2" s="94" t="s">
        <v>246</v>
      </c>
    </row>
    <row r="3" spans="2:65">
      <c r="B3" s="109" t="s">
        <v>310</v>
      </c>
      <c r="C3" s="96" t="s">
        <v>530</v>
      </c>
    </row>
    <row r="4" spans="2:65">
      <c r="B4" s="110" t="s">
        <v>311</v>
      </c>
      <c r="C4" s="96" t="s">
        <v>423</v>
      </c>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03" t="s">
        <v>247</v>
      </c>
      <c r="AN7" s="903"/>
      <c r="AO7" s="903"/>
      <c r="AP7" s="903"/>
      <c r="AQ7" s="903"/>
      <c r="AR7" s="903"/>
      <c r="AS7" s="903" t="s">
        <v>247</v>
      </c>
      <c r="AT7" s="903"/>
      <c r="AU7" s="903"/>
      <c r="AV7" s="903"/>
      <c r="AW7" s="903"/>
      <c r="AX7" s="903"/>
      <c r="AY7" s="903" t="s">
        <v>248</v>
      </c>
      <c r="AZ7" s="903"/>
      <c r="BA7" s="903"/>
      <c r="BB7" s="903"/>
      <c r="BC7" s="903"/>
      <c r="BD7" s="903"/>
      <c r="BE7" s="97"/>
      <c r="BF7" s="97"/>
      <c r="BG7" s="97"/>
      <c r="BH7" s="98"/>
      <c r="BI7" s="98"/>
      <c r="BJ7" s="97"/>
      <c r="BK7" s="97"/>
      <c r="BL7" s="97"/>
      <c r="BM7" s="99" t="s">
        <v>249</v>
      </c>
    </row>
    <row r="8" spans="2:65">
      <c r="B8" s="904" t="s">
        <v>250</v>
      </c>
      <c r="C8" s="891"/>
      <c r="D8" s="891"/>
      <c r="E8" s="892"/>
      <c r="F8" s="904" t="s">
        <v>251</v>
      </c>
      <c r="G8" s="891"/>
      <c r="H8" s="891"/>
      <c r="I8" s="891"/>
      <c r="J8" s="891"/>
      <c r="K8" s="891"/>
      <c r="L8" s="891"/>
      <c r="M8" s="891"/>
      <c r="N8" s="891"/>
      <c r="O8" s="892"/>
      <c r="P8" s="904" t="s">
        <v>252</v>
      </c>
      <c r="Q8" s="891"/>
      <c r="R8" s="891"/>
      <c r="S8" s="891"/>
      <c r="T8" s="891"/>
      <c r="U8" s="891"/>
      <c r="V8" s="891"/>
      <c r="W8" s="891"/>
      <c r="X8" s="891"/>
      <c r="Y8" s="891"/>
      <c r="Z8" s="891"/>
      <c r="AA8" s="891"/>
      <c r="AB8" s="891"/>
      <c r="AC8" s="892"/>
      <c r="AD8" s="904" t="s">
        <v>253</v>
      </c>
      <c r="AE8" s="891"/>
      <c r="AF8" s="892"/>
      <c r="AG8" s="904" t="s">
        <v>254</v>
      </c>
      <c r="AH8" s="891"/>
      <c r="AI8" s="891"/>
      <c r="AJ8" s="891"/>
      <c r="AK8" s="891"/>
      <c r="AL8" s="892"/>
      <c r="AM8" s="905" t="s">
        <v>255</v>
      </c>
      <c r="AN8" s="905"/>
      <c r="AO8" s="905"/>
      <c r="AP8" s="905"/>
      <c r="AQ8" s="905"/>
      <c r="AR8" s="905"/>
      <c r="AS8" s="904" t="s">
        <v>256</v>
      </c>
      <c r="AT8" s="891"/>
      <c r="AU8" s="891"/>
      <c r="AV8" s="891"/>
      <c r="AW8" s="891"/>
      <c r="AX8" s="892"/>
      <c r="AY8" s="904" t="s">
        <v>257</v>
      </c>
      <c r="AZ8" s="891"/>
      <c r="BA8" s="891"/>
      <c r="BB8" s="891"/>
      <c r="BC8" s="891"/>
      <c r="BD8" s="892"/>
      <c r="BE8" s="891" t="s">
        <v>258</v>
      </c>
      <c r="BF8" s="891"/>
      <c r="BG8" s="891"/>
      <c r="BH8" s="891"/>
      <c r="BI8" s="891"/>
      <c r="BJ8" s="891"/>
      <c r="BK8" s="891"/>
      <c r="BL8" s="891"/>
      <c r="BM8" s="892"/>
    </row>
    <row r="9" spans="2:65">
      <c r="B9" s="893" t="s">
        <v>259</v>
      </c>
      <c r="C9" s="894"/>
      <c r="D9" s="894"/>
      <c r="E9" s="895"/>
      <c r="F9" s="896"/>
      <c r="G9" s="897"/>
      <c r="H9" s="897"/>
      <c r="I9" s="897"/>
      <c r="J9" s="897"/>
      <c r="K9" s="897"/>
      <c r="L9" s="897"/>
      <c r="M9" s="897"/>
      <c r="N9" s="897"/>
      <c r="O9" s="898"/>
      <c r="P9" s="899" t="s">
        <v>260</v>
      </c>
      <c r="Q9" s="899"/>
      <c r="R9" s="899"/>
      <c r="S9" s="899"/>
      <c r="T9" s="899"/>
      <c r="U9" s="899"/>
      <c r="V9" s="899"/>
      <c r="W9" s="899"/>
      <c r="X9" s="899"/>
      <c r="Y9" s="899"/>
      <c r="Z9" s="899"/>
      <c r="AA9" s="899"/>
      <c r="AB9" s="899"/>
      <c r="AC9" s="899"/>
      <c r="AD9" s="899" t="s">
        <v>261</v>
      </c>
      <c r="AE9" s="899"/>
      <c r="AF9" s="899"/>
      <c r="AG9" s="899" t="s">
        <v>262</v>
      </c>
      <c r="AH9" s="899"/>
      <c r="AI9" s="899"/>
      <c r="AJ9" s="899"/>
      <c r="AK9" s="899"/>
      <c r="AL9" s="899"/>
      <c r="AM9" s="899" t="s">
        <v>263</v>
      </c>
      <c r="AN9" s="899"/>
      <c r="AO9" s="899"/>
      <c r="AP9" s="899"/>
      <c r="AQ9" s="899"/>
      <c r="AR9" s="899"/>
      <c r="AS9" s="899" t="s">
        <v>264</v>
      </c>
      <c r="AT9" s="899"/>
      <c r="AU9" s="899"/>
      <c r="AV9" s="899"/>
      <c r="AW9" s="899"/>
      <c r="AX9" s="899"/>
      <c r="AY9" s="899" t="s">
        <v>265</v>
      </c>
      <c r="AZ9" s="899"/>
      <c r="BA9" s="899"/>
      <c r="BB9" s="899"/>
      <c r="BC9" s="899"/>
      <c r="BD9" s="899"/>
      <c r="BE9" s="900" t="s">
        <v>266</v>
      </c>
      <c r="BF9" s="900"/>
      <c r="BG9" s="900"/>
      <c r="BH9" s="901" t="s">
        <v>267</v>
      </c>
      <c r="BI9" s="901"/>
      <c r="BJ9" s="901"/>
      <c r="BK9" s="902" t="s">
        <v>255</v>
      </c>
      <c r="BL9" s="902"/>
      <c r="BM9" s="902"/>
    </row>
    <row r="10" spans="2:65" ht="32.25" customHeight="1">
      <c r="B10" s="881" t="s">
        <v>312</v>
      </c>
      <c r="C10" s="881"/>
      <c r="D10" s="881"/>
      <c r="E10" s="881"/>
      <c r="F10" s="934"/>
      <c r="G10" s="934"/>
      <c r="H10" s="934"/>
      <c r="I10" s="934"/>
      <c r="J10" s="934"/>
      <c r="K10" s="934"/>
      <c r="L10" s="934"/>
      <c r="M10" s="934"/>
      <c r="N10" s="934"/>
      <c r="O10" s="934"/>
      <c r="P10" s="934"/>
      <c r="Q10" s="934"/>
      <c r="R10" s="934"/>
      <c r="S10" s="934"/>
      <c r="T10" s="934"/>
      <c r="U10" s="934"/>
      <c r="V10" s="934"/>
      <c r="W10" s="934"/>
      <c r="X10" s="934"/>
      <c r="Y10" s="934"/>
      <c r="Z10" s="934"/>
      <c r="AA10" s="934"/>
      <c r="AB10" s="934"/>
      <c r="AC10" s="934"/>
      <c r="AD10" s="884" t="s">
        <v>202</v>
      </c>
      <c r="AE10" s="884"/>
      <c r="AF10" s="884"/>
      <c r="AG10" s="885"/>
      <c r="AH10" s="885"/>
      <c r="AI10" s="885"/>
      <c r="AJ10" s="885"/>
      <c r="AK10" s="885"/>
      <c r="AL10" s="885"/>
      <c r="AM10" s="885"/>
      <c r="AN10" s="885"/>
      <c r="AO10" s="885"/>
      <c r="AP10" s="885"/>
      <c r="AQ10" s="885"/>
      <c r="AR10" s="885"/>
      <c r="AS10" s="886" t="str">
        <f>IF(AM10="","",AG10*AM10)</f>
        <v/>
      </c>
      <c r="AT10" s="886"/>
      <c r="AU10" s="886"/>
      <c r="AV10" s="886"/>
      <c r="AW10" s="886"/>
      <c r="AX10" s="886"/>
      <c r="AY10" s="886" t="str">
        <f>IF(AM10="","",ROUNDDOWN(AG10*AM10*1.1,0))</f>
        <v/>
      </c>
      <c r="AZ10" s="886"/>
      <c r="BA10" s="886"/>
      <c r="BB10" s="886"/>
      <c r="BC10" s="886"/>
      <c r="BD10" s="886"/>
      <c r="BE10" s="878" t="str">
        <f>IF(AS10="","",IF(AS10&gt;=300000,"必要",""))</f>
        <v/>
      </c>
      <c r="BF10" s="878"/>
      <c r="BG10" s="878"/>
      <c r="BH10" s="878" t="str">
        <f>IF(AS10="","",IF(AS10&gt;=1000000,"必要",""))</f>
        <v/>
      </c>
      <c r="BI10" s="878"/>
      <c r="BJ10" s="878"/>
      <c r="BK10" s="879" t="str">
        <f>IF(AM10="","",IF(AM10&lt;100000,"×","〇"))</f>
        <v/>
      </c>
      <c r="BL10" s="879"/>
      <c r="BM10" s="879"/>
    </row>
    <row r="11" spans="2:65" ht="32.25" customHeight="1">
      <c r="B11" s="881" t="s">
        <v>313</v>
      </c>
      <c r="C11" s="881"/>
      <c r="D11" s="881"/>
      <c r="E11" s="881"/>
      <c r="F11" s="934"/>
      <c r="G11" s="934"/>
      <c r="H11" s="934"/>
      <c r="I11" s="934"/>
      <c r="J11" s="934"/>
      <c r="K11" s="934"/>
      <c r="L11" s="934"/>
      <c r="M11" s="934"/>
      <c r="N11" s="934"/>
      <c r="O11" s="934"/>
      <c r="P11" s="934"/>
      <c r="Q11" s="934"/>
      <c r="R11" s="934"/>
      <c r="S11" s="934"/>
      <c r="T11" s="934"/>
      <c r="U11" s="934"/>
      <c r="V11" s="934"/>
      <c r="W11" s="934"/>
      <c r="X11" s="934"/>
      <c r="Y11" s="934"/>
      <c r="Z11" s="934"/>
      <c r="AA11" s="934"/>
      <c r="AB11" s="934"/>
      <c r="AC11" s="934"/>
      <c r="AD11" s="884" t="s">
        <v>202</v>
      </c>
      <c r="AE11" s="884"/>
      <c r="AF11" s="884"/>
      <c r="AG11" s="885"/>
      <c r="AH11" s="885"/>
      <c r="AI11" s="885"/>
      <c r="AJ11" s="885"/>
      <c r="AK11" s="885"/>
      <c r="AL11" s="885"/>
      <c r="AM11" s="885"/>
      <c r="AN11" s="885"/>
      <c r="AO11" s="885"/>
      <c r="AP11" s="885"/>
      <c r="AQ11" s="885"/>
      <c r="AR11" s="885"/>
      <c r="AS11" s="886" t="str">
        <f>IF(AM11="","",AG11*AM11)</f>
        <v/>
      </c>
      <c r="AT11" s="886"/>
      <c r="AU11" s="886"/>
      <c r="AV11" s="886"/>
      <c r="AW11" s="886"/>
      <c r="AX11" s="886"/>
      <c r="AY11" s="886" t="str">
        <f>IF(AM11="","",ROUNDDOWN(AG11*AM11*1.1,0))</f>
        <v/>
      </c>
      <c r="AZ11" s="886"/>
      <c r="BA11" s="886"/>
      <c r="BB11" s="886"/>
      <c r="BC11" s="886"/>
      <c r="BD11" s="886"/>
      <c r="BE11" s="878" t="str">
        <f>IF(AS11="","",IF(AS11&gt;=300000,"必要",""))</f>
        <v/>
      </c>
      <c r="BF11" s="878"/>
      <c r="BG11" s="878"/>
      <c r="BH11" s="878" t="str">
        <f>IF(AS11="","",IF(AS11&gt;=1000000,"必要",""))</f>
        <v/>
      </c>
      <c r="BI11" s="878"/>
      <c r="BJ11" s="878"/>
      <c r="BK11" s="879" t="str">
        <f>IF(AM11="","",IF(AM11&lt;100000,"×","〇"))</f>
        <v/>
      </c>
      <c r="BL11" s="879"/>
      <c r="BM11" s="879"/>
    </row>
    <row r="12" spans="2:65" ht="32.25" customHeight="1">
      <c r="B12" s="881" t="s">
        <v>314</v>
      </c>
      <c r="C12" s="881"/>
      <c r="D12" s="881"/>
      <c r="E12" s="881"/>
      <c r="F12" s="934"/>
      <c r="G12" s="934"/>
      <c r="H12" s="934"/>
      <c r="I12" s="934"/>
      <c r="J12" s="934"/>
      <c r="K12" s="934"/>
      <c r="L12" s="934"/>
      <c r="M12" s="934"/>
      <c r="N12" s="934"/>
      <c r="O12" s="934"/>
      <c r="P12" s="934"/>
      <c r="Q12" s="934"/>
      <c r="R12" s="934"/>
      <c r="S12" s="934"/>
      <c r="T12" s="934"/>
      <c r="U12" s="934"/>
      <c r="V12" s="934"/>
      <c r="W12" s="934"/>
      <c r="X12" s="934"/>
      <c r="Y12" s="934"/>
      <c r="Z12" s="934"/>
      <c r="AA12" s="934"/>
      <c r="AB12" s="934"/>
      <c r="AC12" s="934"/>
      <c r="AD12" s="884" t="s">
        <v>202</v>
      </c>
      <c r="AE12" s="884"/>
      <c r="AF12" s="884"/>
      <c r="AG12" s="885"/>
      <c r="AH12" s="885"/>
      <c r="AI12" s="885"/>
      <c r="AJ12" s="885"/>
      <c r="AK12" s="885"/>
      <c r="AL12" s="885"/>
      <c r="AM12" s="885"/>
      <c r="AN12" s="885"/>
      <c r="AO12" s="885"/>
      <c r="AP12" s="885"/>
      <c r="AQ12" s="885"/>
      <c r="AR12" s="885"/>
      <c r="AS12" s="886" t="str">
        <f>IF(AM12="","",AG12*AM12)</f>
        <v/>
      </c>
      <c r="AT12" s="886"/>
      <c r="AU12" s="886"/>
      <c r="AV12" s="886"/>
      <c r="AW12" s="886"/>
      <c r="AX12" s="886"/>
      <c r="AY12" s="886" t="str">
        <f>IF(AM12="","",ROUNDDOWN(AG12*AM12*1.1,0))</f>
        <v/>
      </c>
      <c r="AZ12" s="886"/>
      <c r="BA12" s="886"/>
      <c r="BB12" s="886"/>
      <c r="BC12" s="886"/>
      <c r="BD12" s="886"/>
      <c r="BE12" s="878" t="str">
        <f>IF(AS12="","",IF(AS12&gt;=300000,"必要",""))</f>
        <v/>
      </c>
      <c r="BF12" s="878"/>
      <c r="BG12" s="878"/>
      <c r="BH12" s="878" t="str">
        <f>IF(AS12="","",IF(AS12&gt;=1000000,"必要",""))</f>
        <v/>
      </c>
      <c r="BI12" s="878"/>
      <c r="BJ12" s="878"/>
      <c r="BK12" s="879" t="str">
        <f>IF(AM12="","",IF(AM12&lt;100000,"×","〇"))</f>
        <v/>
      </c>
      <c r="BL12" s="879"/>
      <c r="BM12" s="879"/>
    </row>
    <row r="13" spans="2:65" ht="32.25" customHeight="1">
      <c r="B13" s="881" t="s">
        <v>315</v>
      </c>
      <c r="C13" s="881"/>
      <c r="D13" s="881"/>
      <c r="E13" s="881"/>
      <c r="F13" s="934"/>
      <c r="G13" s="934"/>
      <c r="H13" s="934"/>
      <c r="I13" s="934"/>
      <c r="J13" s="934"/>
      <c r="K13" s="934"/>
      <c r="L13" s="934"/>
      <c r="M13" s="934"/>
      <c r="N13" s="934"/>
      <c r="O13" s="934"/>
      <c r="P13" s="934"/>
      <c r="Q13" s="934"/>
      <c r="R13" s="934"/>
      <c r="S13" s="934"/>
      <c r="T13" s="934"/>
      <c r="U13" s="934"/>
      <c r="V13" s="934"/>
      <c r="W13" s="934"/>
      <c r="X13" s="934"/>
      <c r="Y13" s="934"/>
      <c r="Z13" s="934"/>
      <c r="AA13" s="934"/>
      <c r="AB13" s="934"/>
      <c r="AC13" s="934"/>
      <c r="AD13" s="884" t="s">
        <v>202</v>
      </c>
      <c r="AE13" s="884"/>
      <c r="AF13" s="884"/>
      <c r="AG13" s="885"/>
      <c r="AH13" s="885"/>
      <c r="AI13" s="885"/>
      <c r="AJ13" s="885"/>
      <c r="AK13" s="885"/>
      <c r="AL13" s="885"/>
      <c r="AM13" s="885"/>
      <c r="AN13" s="885"/>
      <c r="AO13" s="885"/>
      <c r="AP13" s="885"/>
      <c r="AQ13" s="885"/>
      <c r="AR13" s="885"/>
      <c r="AS13" s="886" t="str">
        <f>IF(AM13="","",AG13*AM13)</f>
        <v/>
      </c>
      <c r="AT13" s="886"/>
      <c r="AU13" s="886"/>
      <c r="AV13" s="886"/>
      <c r="AW13" s="886"/>
      <c r="AX13" s="886"/>
      <c r="AY13" s="886" t="str">
        <f>IF(AM13="","",ROUNDDOWN(AG13*AM13*1.1,0))</f>
        <v/>
      </c>
      <c r="AZ13" s="886"/>
      <c r="BA13" s="886"/>
      <c r="BB13" s="886"/>
      <c r="BC13" s="886"/>
      <c r="BD13" s="886"/>
      <c r="BE13" s="878" t="str">
        <f>IF(AS13="","",IF(AS13&gt;=300000,"必要",""))</f>
        <v/>
      </c>
      <c r="BF13" s="878"/>
      <c r="BG13" s="878"/>
      <c r="BH13" s="878" t="str">
        <f>IF(AS13="","",IF(AS13&gt;=1000000,"必要",""))</f>
        <v/>
      </c>
      <c r="BI13" s="878"/>
      <c r="BJ13" s="878"/>
      <c r="BK13" s="879" t="str">
        <f>IF(AM13="","",IF(AM13&lt;100000,"×","〇"))</f>
        <v/>
      </c>
      <c r="BL13" s="879"/>
      <c r="BM13" s="879"/>
    </row>
    <row r="14" spans="2:65" ht="32.25" customHeight="1">
      <c r="B14" s="881" t="s">
        <v>316</v>
      </c>
      <c r="C14" s="881"/>
      <c r="D14" s="881"/>
      <c r="E14" s="881"/>
      <c r="F14" s="934"/>
      <c r="G14" s="934"/>
      <c r="H14" s="934"/>
      <c r="I14" s="934"/>
      <c r="J14" s="934"/>
      <c r="K14" s="934"/>
      <c r="L14" s="934"/>
      <c r="M14" s="934"/>
      <c r="N14" s="934"/>
      <c r="O14" s="934"/>
      <c r="P14" s="934"/>
      <c r="Q14" s="934"/>
      <c r="R14" s="934"/>
      <c r="S14" s="934"/>
      <c r="T14" s="934"/>
      <c r="U14" s="934"/>
      <c r="V14" s="934"/>
      <c r="W14" s="934"/>
      <c r="X14" s="934"/>
      <c r="Y14" s="934"/>
      <c r="Z14" s="934"/>
      <c r="AA14" s="934"/>
      <c r="AB14" s="934"/>
      <c r="AC14" s="934"/>
      <c r="AD14" s="884" t="s">
        <v>202</v>
      </c>
      <c r="AE14" s="884"/>
      <c r="AF14" s="884"/>
      <c r="AG14" s="885"/>
      <c r="AH14" s="885"/>
      <c r="AI14" s="885"/>
      <c r="AJ14" s="885"/>
      <c r="AK14" s="885"/>
      <c r="AL14" s="885"/>
      <c r="AM14" s="885"/>
      <c r="AN14" s="885"/>
      <c r="AO14" s="885"/>
      <c r="AP14" s="885"/>
      <c r="AQ14" s="885"/>
      <c r="AR14" s="885"/>
      <c r="AS14" s="886" t="str">
        <f>IF(AM14="","",AG14*AM14)</f>
        <v/>
      </c>
      <c r="AT14" s="886"/>
      <c r="AU14" s="886"/>
      <c r="AV14" s="886"/>
      <c r="AW14" s="886"/>
      <c r="AX14" s="886"/>
      <c r="AY14" s="886" t="str">
        <f>IF(AM14="","",ROUNDDOWN(AG14*AM14*1.1,0))</f>
        <v/>
      </c>
      <c r="AZ14" s="886"/>
      <c r="BA14" s="886"/>
      <c r="BB14" s="886"/>
      <c r="BC14" s="886"/>
      <c r="BD14" s="886"/>
      <c r="BE14" s="878" t="str">
        <f>IF(AS14="","",IF(AS14&gt;=300000,"必要",""))</f>
        <v/>
      </c>
      <c r="BF14" s="878"/>
      <c r="BG14" s="878"/>
      <c r="BH14" s="878" t="str">
        <f>IF(AS14="","",IF(AS14&gt;=1000000,"必要",""))</f>
        <v/>
      </c>
      <c r="BI14" s="878"/>
      <c r="BJ14" s="878"/>
      <c r="BK14" s="879" t="str">
        <f>IF(AM14="","",IF(AM14&lt;100000,"×","〇"))</f>
        <v/>
      </c>
      <c r="BL14" s="879"/>
      <c r="BM14" s="879"/>
    </row>
    <row r="15" spans="2:65" ht="32.25" customHeight="1">
      <c r="AM15" s="887" t="s">
        <v>34</v>
      </c>
      <c r="AN15" s="887"/>
      <c r="AO15" s="887"/>
      <c r="AP15" s="887"/>
      <c r="AQ15" s="887"/>
      <c r="AR15" s="888"/>
      <c r="AS15" s="889">
        <f>SUM(AS10:AX14)</f>
        <v>0</v>
      </c>
      <c r="AT15" s="889"/>
      <c r="AU15" s="889"/>
      <c r="AV15" s="889"/>
      <c r="AW15" s="889"/>
      <c r="AX15" s="889"/>
      <c r="AY15" s="889">
        <f>SUM(AY10:BD14)</f>
        <v>0</v>
      </c>
      <c r="AZ15" s="889"/>
      <c r="BA15" s="889"/>
      <c r="BB15" s="889"/>
      <c r="BC15" s="889"/>
      <c r="BD15" s="889"/>
    </row>
    <row r="16" spans="2:65">
      <c r="B16" s="111" t="s">
        <v>317</v>
      </c>
      <c r="C16" s="111"/>
      <c r="D16" s="111"/>
      <c r="K16" s="111"/>
      <c r="L16" s="111"/>
      <c r="M16" s="111"/>
      <c r="AF16" s="111"/>
      <c r="AG16" s="111"/>
      <c r="AH16" s="111"/>
      <c r="AS16" s="111"/>
      <c r="AT16" s="111"/>
      <c r="BM16" s="111"/>
    </row>
    <row r="17" spans="2:65" ht="23.5" customHeight="1">
      <c r="B17" s="112" t="s">
        <v>318</v>
      </c>
      <c r="C17" s="113"/>
      <c r="D17" s="113"/>
      <c r="E17" s="114"/>
      <c r="F17" s="114"/>
      <c r="G17" s="114"/>
      <c r="H17" s="114"/>
      <c r="I17" s="114"/>
      <c r="J17" s="114"/>
      <c r="K17" s="113"/>
      <c r="L17" s="113"/>
      <c r="M17" s="113"/>
      <c r="N17" s="114"/>
      <c r="O17" s="114"/>
      <c r="P17" s="114"/>
      <c r="Q17" s="114"/>
      <c r="R17" s="114"/>
      <c r="S17" s="114"/>
      <c r="T17" s="114"/>
      <c r="U17" s="114"/>
      <c r="V17" s="114"/>
      <c r="W17" s="114"/>
      <c r="X17" s="114"/>
      <c r="Y17" s="114"/>
      <c r="Z17" s="114"/>
      <c r="AA17" s="114"/>
      <c r="AB17" s="114"/>
      <c r="AC17" s="114"/>
      <c r="AD17" s="114"/>
      <c r="AE17" s="114"/>
      <c r="AF17" s="113"/>
      <c r="AG17" s="113"/>
      <c r="AH17" s="113"/>
      <c r="AI17" s="114"/>
      <c r="AJ17" s="114"/>
      <c r="AK17" s="114"/>
      <c r="AL17" s="114"/>
      <c r="AM17" s="114"/>
      <c r="AN17" s="114"/>
      <c r="AO17" s="114"/>
      <c r="AP17" s="114"/>
      <c r="AQ17" s="114"/>
      <c r="AR17" s="114"/>
      <c r="AS17" s="113"/>
      <c r="AT17" s="113"/>
      <c r="AU17" s="114"/>
      <c r="AV17" s="114"/>
      <c r="AW17" s="114"/>
      <c r="AX17" s="114"/>
      <c r="AY17" s="114"/>
      <c r="AZ17" s="114"/>
      <c r="BA17" s="114"/>
      <c r="BB17" s="114"/>
      <c r="BC17" s="114"/>
      <c r="BD17" s="114"/>
      <c r="BE17" s="114"/>
      <c r="BF17" s="114"/>
      <c r="BG17" s="114"/>
      <c r="BH17" s="114"/>
      <c r="BI17" s="114"/>
      <c r="BJ17" s="114"/>
      <c r="BK17" s="114"/>
      <c r="BL17" s="114"/>
      <c r="BM17" s="115"/>
    </row>
    <row r="18" spans="2:65" ht="23.5" customHeight="1">
      <c r="B18" s="955" t="s">
        <v>319</v>
      </c>
      <c r="C18" s="956"/>
      <c r="D18" s="956"/>
      <c r="E18" s="956"/>
      <c r="F18" s="956"/>
      <c r="G18" s="956"/>
      <c r="H18" s="956"/>
      <c r="I18" s="956"/>
      <c r="J18" s="956"/>
      <c r="K18" s="956"/>
      <c r="L18" s="957"/>
      <c r="M18" s="976"/>
      <c r="N18" s="977"/>
      <c r="O18" s="977"/>
      <c r="P18" s="977"/>
      <c r="Q18" s="977"/>
      <c r="R18" s="977"/>
      <c r="S18" s="977"/>
      <c r="T18" s="977"/>
      <c r="U18" s="977"/>
      <c r="V18" s="977"/>
      <c r="W18" s="977"/>
      <c r="X18" s="977"/>
      <c r="Y18" s="977"/>
      <c r="Z18" s="977"/>
      <c r="AA18" s="977"/>
      <c r="AB18" s="977"/>
      <c r="AC18" s="977"/>
      <c r="AD18" s="977"/>
      <c r="AE18" s="977"/>
      <c r="AF18" s="977"/>
      <c r="AG18" s="977"/>
      <c r="AH18" s="977"/>
      <c r="AI18" s="977"/>
      <c r="AJ18" s="977"/>
      <c r="AK18" s="977"/>
      <c r="AL18" s="977"/>
      <c r="AM18" s="977"/>
      <c r="AN18" s="977"/>
      <c r="AO18" s="977"/>
      <c r="AP18" s="977"/>
      <c r="AQ18" s="977"/>
      <c r="AR18" s="977"/>
      <c r="AS18" s="977"/>
      <c r="AT18" s="977"/>
      <c r="AU18" s="977"/>
      <c r="AV18" s="977"/>
      <c r="AW18" s="977"/>
      <c r="AX18" s="977"/>
      <c r="AY18" s="977"/>
      <c r="AZ18" s="977"/>
      <c r="BA18" s="977"/>
      <c r="BB18" s="977"/>
      <c r="BC18" s="977"/>
      <c r="BD18" s="977"/>
      <c r="BE18" s="977"/>
      <c r="BF18" s="977"/>
      <c r="BG18" s="977"/>
      <c r="BH18" s="977"/>
      <c r="BI18" s="977"/>
      <c r="BJ18" s="977"/>
      <c r="BK18" s="977"/>
      <c r="BL18" s="977"/>
      <c r="BM18" s="978"/>
    </row>
    <row r="19" spans="2:65" ht="23.5" customHeight="1">
      <c r="B19" s="958"/>
      <c r="C19" s="959"/>
      <c r="D19" s="959"/>
      <c r="E19" s="959"/>
      <c r="F19" s="959"/>
      <c r="G19" s="959"/>
      <c r="H19" s="959"/>
      <c r="I19" s="959"/>
      <c r="J19" s="959"/>
      <c r="K19" s="959"/>
      <c r="L19" s="960"/>
      <c r="M19" s="979"/>
      <c r="N19" s="980"/>
      <c r="O19" s="980"/>
      <c r="P19" s="980"/>
      <c r="Q19" s="980"/>
      <c r="R19" s="980"/>
      <c r="S19" s="980"/>
      <c r="T19" s="980"/>
      <c r="U19" s="980"/>
      <c r="V19" s="980"/>
      <c r="W19" s="980"/>
      <c r="X19" s="980"/>
      <c r="Y19" s="980"/>
      <c r="Z19" s="980"/>
      <c r="AA19" s="980"/>
      <c r="AB19" s="980"/>
      <c r="AC19" s="980"/>
      <c r="AD19" s="980"/>
      <c r="AE19" s="980"/>
      <c r="AF19" s="980"/>
      <c r="AG19" s="980"/>
      <c r="AH19" s="980"/>
      <c r="AI19" s="980"/>
      <c r="AJ19" s="980"/>
      <c r="AK19" s="980"/>
      <c r="AL19" s="980"/>
      <c r="AM19" s="980"/>
      <c r="AN19" s="980"/>
      <c r="AO19" s="980"/>
      <c r="AP19" s="980"/>
      <c r="AQ19" s="980"/>
      <c r="AR19" s="980"/>
      <c r="AS19" s="980"/>
      <c r="AT19" s="980"/>
      <c r="AU19" s="980"/>
      <c r="AV19" s="980"/>
      <c r="AW19" s="980"/>
      <c r="AX19" s="980"/>
      <c r="AY19" s="980"/>
      <c r="AZ19" s="980"/>
      <c r="BA19" s="980"/>
      <c r="BB19" s="980"/>
      <c r="BC19" s="980"/>
      <c r="BD19" s="980"/>
      <c r="BE19" s="980"/>
      <c r="BF19" s="980"/>
      <c r="BG19" s="980"/>
      <c r="BH19" s="980"/>
      <c r="BI19" s="980"/>
      <c r="BJ19" s="980"/>
      <c r="BK19" s="980"/>
      <c r="BL19" s="980"/>
      <c r="BM19" s="981"/>
    </row>
    <row r="20" spans="2:65" ht="23.5" customHeight="1">
      <c r="B20" s="961"/>
      <c r="C20" s="962"/>
      <c r="D20" s="962"/>
      <c r="E20" s="962"/>
      <c r="F20" s="962"/>
      <c r="G20" s="962"/>
      <c r="H20" s="962"/>
      <c r="I20" s="962"/>
      <c r="J20" s="962"/>
      <c r="K20" s="962"/>
      <c r="L20" s="963"/>
      <c r="M20" s="982"/>
      <c r="N20" s="983"/>
      <c r="O20" s="983"/>
      <c r="P20" s="983"/>
      <c r="Q20" s="983"/>
      <c r="R20" s="983"/>
      <c r="S20" s="983"/>
      <c r="T20" s="983"/>
      <c r="U20" s="983"/>
      <c r="V20" s="983"/>
      <c r="W20" s="983"/>
      <c r="X20" s="983"/>
      <c r="Y20" s="983"/>
      <c r="Z20" s="983"/>
      <c r="AA20" s="983"/>
      <c r="AB20" s="983"/>
      <c r="AC20" s="983"/>
      <c r="AD20" s="983"/>
      <c r="AE20" s="983"/>
      <c r="AF20" s="983"/>
      <c r="AG20" s="983"/>
      <c r="AH20" s="983"/>
      <c r="AI20" s="983"/>
      <c r="AJ20" s="983"/>
      <c r="AK20" s="983"/>
      <c r="AL20" s="983"/>
      <c r="AM20" s="983"/>
      <c r="AN20" s="983"/>
      <c r="AO20" s="983"/>
      <c r="AP20" s="983"/>
      <c r="AQ20" s="983"/>
      <c r="AR20" s="983"/>
      <c r="AS20" s="983"/>
      <c r="AT20" s="983"/>
      <c r="AU20" s="983"/>
      <c r="AV20" s="983"/>
      <c r="AW20" s="983"/>
      <c r="AX20" s="983"/>
      <c r="AY20" s="983"/>
      <c r="AZ20" s="983"/>
      <c r="BA20" s="983"/>
      <c r="BB20" s="983"/>
      <c r="BC20" s="983"/>
      <c r="BD20" s="983"/>
      <c r="BE20" s="983"/>
      <c r="BF20" s="983"/>
      <c r="BG20" s="983"/>
      <c r="BH20" s="983"/>
      <c r="BI20" s="983"/>
      <c r="BJ20" s="983"/>
      <c r="BK20" s="983"/>
      <c r="BL20" s="983"/>
      <c r="BM20" s="984"/>
    </row>
    <row r="21" spans="2:65" ht="23.5" customHeight="1">
      <c r="B21" s="955" t="s">
        <v>320</v>
      </c>
      <c r="C21" s="956"/>
      <c r="D21" s="956"/>
      <c r="E21" s="956"/>
      <c r="F21" s="956"/>
      <c r="G21" s="956"/>
      <c r="H21" s="956"/>
      <c r="I21" s="956"/>
      <c r="J21" s="956"/>
      <c r="K21" s="956"/>
      <c r="L21" s="957"/>
      <c r="M21" s="976"/>
      <c r="N21" s="977"/>
      <c r="O21" s="977"/>
      <c r="P21" s="977"/>
      <c r="Q21" s="977"/>
      <c r="R21" s="977"/>
      <c r="S21" s="977"/>
      <c r="T21" s="977"/>
      <c r="U21" s="977"/>
      <c r="V21" s="977"/>
      <c r="W21" s="977"/>
      <c r="X21" s="977"/>
      <c r="Y21" s="977"/>
      <c r="Z21" s="977"/>
      <c r="AA21" s="977"/>
      <c r="AB21" s="977"/>
      <c r="AC21" s="977"/>
      <c r="AD21" s="977"/>
      <c r="AE21" s="977"/>
      <c r="AF21" s="977"/>
      <c r="AG21" s="977"/>
      <c r="AH21" s="977"/>
      <c r="AI21" s="977"/>
      <c r="AJ21" s="977"/>
      <c r="AK21" s="977"/>
      <c r="AL21" s="977"/>
      <c r="AM21" s="977"/>
      <c r="AN21" s="977"/>
      <c r="AO21" s="977"/>
      <c r="AP21" s="977"/>
      <c r="AQ21" s="977"/>
      <c r="AR21" s="977"/>
      <c r="AS21" s="977"/>
      <c r="AT21" s="977"/>
      <c r="AU21" s="977"/>
      <c r="AV21" s="977"/>
      <c r="AW21" s="977"/>
      <c r="AX21" s="977"/>
      <c r="AY21" s="977"/>
      <c r="AZ21" s="977"/>
      <c r="BA21" s="977"/>
      <c r="BB21" s="977"/>
      <c r="BC21" s="977"/>
      <c r="BD21" s="977"/>
      <c r="BE21" s="977"/>
      <c r="BF21" s="977"/>
      <c r="BG21" s="977"/>
      <c r="BH21" s="977"/>
      <c r="BI21" s="977"/>
      <c r="BJ21" s="977"/>
      <c r="BK21" s="977"/>
      <c r="BL21" s="977"/>
      <c r="BM21" s="978"/>
    </row>
    <row r="22" spans="2:65" ht="23.5" customHeight="1">
      <c r="B22" s="958"/>
      <c r="C22" s="959"/>
      <c r="D22" s="959"/>
      <c r="E22" s="959"/>
      <c r="F22" s="959"/>
      <c r="G22" s="959"/>
      <c r="H22" s="959"/>
      <c r="I22" s="959"/>
      <c r="J22" s="959"/>
      <c r="K22" s="959"/>
      <c r="L22" s="960"/>
      <c r="M22" s="979"/>
      <c r="N22" s="980"/>
      <c r="O22" s="980"/>
      <c r="P22" s="980"/>
      <c r="Q22" s="980"/>
      <c r="R22" s="980"/>
      <c r="S22" s="980"/>
      <c r="T22" s="980"/>
      <c r="U22" s="980"/>
      <c r="V22" s="980"/>
      <c r="W22" s="980"/>
      <c r="X22" s="980"/>
      <c r="Y22" s="980"/>
      <c r="Z22" s="980"/>
      <c r="AA22" s="980"/>
      <c r="AB22" s="980"/>
      <c r="AC22" s="980"/>
      <c r="AD22" s="980"/>
      <c r="AE22" s="980"/>
      <c r="AF22" s="980"/>
      <c r="AG22" s="980"/>
      <c r="AH22" s="980"/>
      <c r="AI22" s="980"/>
      <c r="AJ22" s="980"/>
      <c r="AK22" s="980"/>
      <c r="AL22" s="980"/>
      <c r="AM22" s="980"/>
      <c r="AN22" s="980"/>
      <c r="AO22" s="980"/>
      <c r="AP22" s="980"/>
      <c r="AQ22" s="980"/>
      <c r="AR22" s="980"/>
      <c r="AS22" s="980"/>
      <c r="AT22" s="980"/>
      <c r="AU22" s="980"/>
      <c r="AV22" s="980"/>
      <c r="AW22" s="980"/>
      <c r="AX22" s="980"/>
      <c r="AY22" s="980"/>
      <c r="AZ22" s="980"/>
      <c r="BA22" s="980"/>
      <c r="BB22" s="980"/>
      <c r="BC22" s="980"/>
      <c r="BD22" s="980"/>
      <c r="BE22" s="980"/>
      <c r="BF22" s="980"/>
      <c r="BG22" s="980"/>
      <c r="BH22" s="980"/>
      <c r="BI22" s="980"/>
      <c r="BJ22" s="980"/>
      <c r="BK22" s="980"/>
      <c r="BL22" s="980"/>
      <c r="BM22" s="981"/>
    </row>
    <row r="23" spans="2:65" ht="23.5" customHeight="1">
      <c r="B23" s="958"/>
      <c r="C23" s="959"/>
      <c r="D23" s="959"/>
      <c r="E23" s="959"/>
      <c r="F23" s="959"/>
      <c r="G23" s="959"/>
      <c r="H23" s="959"/>
      <c r="I23" s="959"/>
      <c r="J23" s="959"/>
      <c r="K23" s="959"/>
      <c r="L23" s="960"/>
      <c r="M23" s="979"/>
      <c r="N23" s="980"/>
      <c r="O23" s="980"/>
      <c r="P23" s="980"/>
      <c r="Q23" s="980"/>
      <c r="R23" s="980"/>
      <c r="S23" s="980"/>
      <c r="T23" s="980"/>
      <c r="U23" s="980"/>
      <c r="V23" s="980"/>
      <c r="W23" s="980"/>
      <c r="X23" s="980"/>
      <c r="Y23" s="980"/>
      <c r="Z23" s="980"/>
      <c r="AA23" s="980"/>
      <c r="AB23" s="980"/>
      <c r="AC23" s="980"/>
      <c r="AD23" s="980"/>
      <c r="AE23" s="980"/>
      <c r="AF23" s="980"/>
      <c r="AG23" s="980"/>
      <c r="AH23" s="980"/>
      <c r="AI23" s="980"/>
      <c r="AJ23" s="980"/>
      <c r="AK23" s="980"/>
      <c r="AL23" s="980"/>
      <c r="AM23" s="980"/>
      <c r="AN23" s="980"/>
      <c r="AO23" s="980"/>
      <c r="AP23" s="980"/>
      <c r="AQ23" s="980"/>
      <c r="AR23" s="980"/>
      <c r="AS23" s="980"/>
      <c r="AT23" s="980"/>
      <c r="AU23" s="980"/>
      <c r="AV23" s="980"/>
      <c r="AW23" s="980"/>
      <c r="AX23" s="980"/>
      <c r="AY23" s="980"/>
      <c r="AZ23" s="980"/>
      <c r="BA23" s="980"/>
      <c r="BB23" s="980"/>
      <c r="BC23" s="980"/>
      <c r="BD23" s="980"/>
      <c r="BE23" s="980"/>
      <c r="BF23" s="980"/>
      <c r="BG23" s="980"/>
      <c r="BH23" s="980"/>
      <c r="BI23" s="980"/>
      <c r="BJ23" s="980"/>
      <c r="BK23" s="980"/>
      <c r="BL23" s="980"/>
      <c r="BM23" s="981"/>
    </row>
    <row r="24" spans="2:65" ht="23.5" customHeight="1">
      <c r="B24" s="961"/>
      <c r="C24" s="962"/>
      <c r="D24" s="962"/>
      <c r="E24" s="962"/>
      <c r="F24" s="962"/>
      <c r="G24" s="962"/>
      <c r="H24" s="962"/>
      <c r="I24" s="962"/>
      <c r="J24" s="962"/>
      <c r="K24" s="962"/>
      <c r="L24" s="963"/>
      <c r="M24" s="982"/>
      <c r="N24" s="983"/>
      <c r="O24" s="983"/>
      <c r="P24" s="983"/>
      <c r="Q24" s="983"/>
      <c r="R24" s="983"/>
      <c r="S24" s="983"/>
      <c r="T24" s="983"/>
      <c r="U24" s="983"/>
      <c r="V24" s="983"/>
      <c r="W24" s="983"/>
      <c r="X24" s="983"/>
      <c r="Y24" s="983"/>
      <c r="Z24" s="983"/>
      <c r="AA24" s="983"/>
      <c r="AB24" s="983"/>
      <c r="AC24" s="983"/>
      <c r="AD24" s="983"/>
      <c r="AE24" s="983"/>
      <c r="AF24" s="983"/>
      <c r="AG24" s="983"/>
      <c r="AH24" s="983"/>
      <c r="AI24" s="983"/>
      <c r="AJ24" s="983"/>
      <c r="AK24" s="983"/>
      <c r="AL24" s="983"/>
      <c r="AM24" s="983"/>
      <c r="AN24" s="983"/>
      <c r="AO24" s="983"/>
      <c r="AP24" s="983"/>
      <c r="AQ24" s="983"/>
      <c r="AR24" s="983"/>
      <c r="AS24" s="983"/>
      <c r="AT24" s="983"/>
      <c r="AU24" s="983"/>
      <c r="AV24" s="983"/>
      <c r="AW24" s="983"/>
      <c r="AX24" s="983"/>
      <c r="AY24" s="983"/>
      <c r="AZ24" s="983"/>
      <c r="BA24" s="983"/>
      <c r="BB24" s="983"/>
      <c r="BC24" s="983"/>
      <c r="BD24" s="983"/>
      <c r="BE24" s="983"/>
      <c r="BF24" s="983"/>
      <c r="BG24" s="983"/>
      <c r="BH24" s="983"/>
      <c r="BI24" s="983"/>
      <c r="BJ24" s="983"/>
      <c r="BK24" s="983"/>
      <c r="BL24" s="983"/>
      <c r="BM24" s="984"/>
    </row>
    <row r="25" spans="2:65" ht="23.5" customHeight="1">
      <c r="B25" s="112" t="s">
        <v>321</v>
      </c>
      <c r="C25" s="113"/>
      <c r="D25" s="113"/>
      <c r="E25" s="116"/>
      <c r="F25" s="116"/>
      <c r="G25" s="116"/>
      <c r="H25" s="116"/>
      <c r="I25" s="116"/>
      <c r="J25" s="116"/>
      <c r="K25" s="113"/>
      <c r="L25" s="113"/>
      <c r="M25" s="113"/>
      <c r="N25" s="116"/>
      <c r="O25" s="116"/>
      <c r="P25" s="116"/>
      <c r="Q25" s="116"/>
      <c r="R25" s="116"/>
      <c r="S25" s="116"/>
      <c r="T25" s="116"/>
      <c r="U25" s="116"/>
      <c r="V25" s="116"/>
      <c r="W25" s="116"/>
      <c r="X25" s="116"/>
      <c r="Y25" s="116"/>
      <c r="Z25" s="116"/>
      <c r="AA25" s="116"/>
      <c r="AB25" s="116"/>
      <c r="AC25" s="116"/>
      <c r="AD25" s="116"/>
      <c r="AE25" s="116"/>
      <c r="AF25" s="117"/>
      <c r="AG25" s="115"/>
      <c r="AH25" s="965" t="s">
        <v>202</v>
      </c>
      <c r="AI25" s="965"/>
      <c r="AJ25" s="965"/>
      <c r="AK25" s="965"/>
      <c r="AL25" s="965"/>
      <c r="AM25" s="965"/>
      <c r="AN25" s="965"/>
      <c r="AO25" s="965"/>
      <c r="AP25" s="965"/>
      <c r="AQ25" s="965"/>
      <c r="AR25" s="965"/>
      <c r="AS25" s="965"/>
      <c r="AT25" s="965"/>
      <c r="AU25" s="965"/>
      <c r="AV25" s="965"/>
      <c r="AW25" s="965"/>
      <c r="AX25" s="965"/>
      <c r="AY25" s="965"/>
      <c r="AZ25" s="965"/>
      <c r="BA25" s="965"/>
      <c r="BB25" s="965"/>
      <c r="BC25" s="965"/>
      <c r="BD25" s="965"/>
      <c r="BE25" s="965"/>
      <c r="BF25" s="965"/>
      <c r="BG25" s="965"/>
      <c r="BH25" s="965"/>
      <c r="BI25" s="965"/>
      <c r="BJ25" s="965"/>
      <c r="BK25" s="965"/>
      <c r="BL25" s="965"/>
      <c r="BM25" s="966"/>
    </row>
    <row r="26" spans="2:65" ht="23.5" customHeight="1">
      <c r="B26" s="967" t="s">
        <v>322</v>
      </c>
      <c r="C26" s="968"/>
      <c r="D26" s="968"/>
      <c r="E26" s="968"/>
      <c r="F26" s="968"/>
      <c r="G26" s="968"/>
      <c r="H26" s="968"/>
      <c r="I26" s="968"/>
      <c r="J26" s="968"/>
      <c r="K26" s="968"/>
      <c r="L26" s="968"/>
      <c r="M26" s="968"/>
      <c r="N26" s="968"/>
      <c r="O26" s="968"/>
      <c r="P26" s="968"/>
      <c r="Q26" s="968"/>
      <c r="R26" s="968"/>
      <c r="S26" s="968"/>
      <c r="T26" s="968"/>
      <c r="U26" s="968"/>
      <c r="V26" s="968"/>
      <c r="W26" s="968"/>
      <c r="X26" s="968"/>
      <c r="Y26" s="968"/>
      <c r="Z26" s="968"/>
      <c r="AA26" s="968"/>
      <c r="AB26" s="968"/>
      <c r="AC26" s="968"/>
      <c r="AD26" s="968"/>
      <c r="AE26" s="968"/>
      <c r="AF26" s="968"/>
      <c r="AG26" s="969"/>
      <c r="AH26" s="965" t="s">
        <v>202</v>
      </c>
      <c r="AI26" s="965"/>
      <c r="AJ26" s="965"/>
      <c r="AK26" s="965"/>
      <c r="AL26" s="965"/>
      <c r="AM26" s="965"/>
      <c r="AN26" s="965"/>
      <c r="AO26" s="965"/>
      <c r="AP26" s="965"/>
      <c r="AQ26" s="965"/>
      <c r="AR26" s="965"/>
      <c r="AS26" s="965"/>
      <c r="AT26" s="965"/>
      <c r="AU26" s="965"/>
      <c r="AV26" s="965"/>
      <c r="AW26" s="965"/>
      <c r="AX26" s="965"/>
      <c r="AY26" s="965"/>
      <c r="AZ26" s="965"/>
      <c r="BA26" s="965"/>
      <c r="BB26" s="965"/>
      <c r="BC26" s="965"/>
      <c r="BD26" s="965"/>
      <c r="BE26" s="965"/>
      <c r="BF26" s="965"/>
      <c r="BG26" s="965"/>
      <c r="BH26" s="965"/>
      <c r="BI26" s="965"/>
      <c r="BJ26" s="965"/>
      <c r="BK26" s="965"/>
      <c r="BL26" s="965"/>
      <c r="BM26" s="966"/>
    </row>
    <row r="27" spans="2:65" ht="23.5" customHeight="1">
      <c r="B27" s="970"/>
      <c r="C27" s="971"/>
      <c r="D27" s="971"/>
      <c r="E27" s="971"/>
      <c r="F27" s="971"/>
      <c r="G27" s="971"/>
      <c r="H27" s="971"/>
      <c r="I27" s="971"/>
      <c r="J27" s="971"/>
      <c r="K27" s="971"/>
      <c r="L27" s="971"/>
      <c r="M27" s="971"/>
      <c r="N27" s="971"/>
      <c r="O27" s="971"/>
      <c r="P27" s="971"/>
      <c r="Q27" s="971"/>
      <c r="R27" s="971"/>
      <c r="S27" s="971"/>
      <c r="T27" s="971"/>
      <c r="U27" s="971"/>
      <c r="V27" s="971"/>
      <c r="W27" s="971"/>
      <c r="X27" s="971"/>
      <c r="Y27" s="971"/>
      <c r="Z27" s="971"/>
      <c r="AA27" s="971"/>
      <c r="AB27" s="971"/>
      <c r="AC27" s="971"/>
      <c r="AD27" s="971"/>
      <c r="AE27" s="971"/>
      <c r="AF27" s="971"/>
      <c r="AG27" s="972"/>
      <c r="AH27" s="973" t="s">
        <v>323</v>
      </c>
      <c r="AI27" s="973"/>
      <c r="AJ27" s="973"/>
      <c r="AK27" s="973"/>
      <c r="AL27" s="973"/>
      <c r="AM27" s="973"/>
      <c r="AN27" s="973"/>
      <c r="AO27" s="973"/>
      <c r="AP27" s="973"/>
      <c r="AQ27" s="973"/>
      <c r="AR27" s="973"/>
      <c r="AS27" s="974"/>
      <c r="AT27" s="975"/>
      <c r="AU27" s="965"/>
      <c r="AV27" s="965"/>
      <c r="AW27" s="965"/>
      <c r="AX27" s="965"/>
      <c r="AY27" s="965"/>
      <c r="AZ27" s="965"/>
      <c r="BA27" s="965"/>
      <c r="BB27" s="965"/>
      <c r="BC27" s="965"/>
      <c r="BD27" s="965"/>
      <c r="BE27" s="965"/>
      <c r="BF27" s="965"/>
      <c r="BG27" s="965"/>
      <c r="BH27" s="965"/>
      <c r="BI27" s="965"/>
      <c r="BJ27" s="965"/>
      <c r="BK27" s="965"/>
      <c r="BL27" s="965"/>
      <c r="BM27" s="966"/>
    </row>
    <row r="28" spans="2:65" ht="23.5" customHeight="1">
      <c r="B28" s="181" t="s">
        <v>446</v>
      </c>
      <c r="C28" s="118"/>
      <c r="D28" s="118"/>
      <c r="E28" s="116"/>
      <c r="F28" s="116"/>
      <c r="G28" s="116"/>
      <c r="H28" s="116"/>
      <c r="I28" s="116"/>
      <c r="J28" s="116"/>
      <c r="K28" s="118"/>
      <c r="L28" s="118"/>
      <c r="M28" s="118"/>
      <c r="N28" s="116"/>
      <c r="O28" s="116"/>
      <c r="P28" s="116"/>
      <c r="Q28" s="116"/>
      <c r="R28" s="116"/>
      <c r="S28" s="116"/>
      <c r="T28" s="116"/>
      <c r="U28" s="116"/>
      <c r="V28" s="116"/>
      <c r="W28" s="116"/>
      <c r="X28" s="116"/>
      <c r="Y28" s="116"/>
      <c r="Z28" s="116"/>
      <c r="AA28" s="116"/>
      <c r="AB28" s="116"/>
      <c r="AC28" s="116"/>
      <c r="AD28" s="116"/>
      <c r="AE28" s="116"/>
      <c r="AF28" s="118"/>
      <c r="AG28" s="119"/>
      <c r="AH28" s="976" t="s">
        <v>202</v>
      </c>
      <c r="AI28" s="977"/>
      <c r="AJ28" s="977"/>
      <c r="AK28" s="977"/>
      <c r="AL28" s="977"/>
      <c r="AM28" s="977"/>
      <c r="AN28" s="977"/>
      <c r="AO28" s="977"/>
      <c r="AP28" s="977"/>
      <c r="AQ28" s="977"/>
      <c r="AR28" s="977"/>
      <c r="AS28" s="977"/>
      <c r="AT28" s="977"/>
      <c r="AU28" s="977"/>
      <c r="AV28" s="977"/>
      <c r="AW28" s="977"/>
      <c r="AX28" s="977"/>
      <c r="AY28" s="977"/>
      <c r="AZ28" s="977"/>
      <c r="BA28" s="977"/>
      <c r="BB28" s="977"/>
      <c r="BC28" s="977"/>
      <c r="BD28" s="977"/>
      <c r="BE28" s="977"/>
      <c r="BF28" s="977"/>
      <c r="BG28" s="977"/>
      <c r="BH28" s="977"/>
      <c r="BI28" s="977"/>
      <c r="BJ28" s="977"/>
      <c r="BK28" s="977"/>
      <c r="BL28" s="977"/>
      <c r="BM28" s="978"/>
    </row>
    <row r="29" spans="2:65" ht="23.5" customHeight="1">
      <c r="B29" s="967" t="s">
        <v>322</v>
      </c>
      <c r="C29" s="968"/>
      <c r="D29" s="968"/>
      <c r="E29" s="968"/>
      <c r="F29" s="968"/>
      <c r="G29" s="968"/>
      <c r="H29" s="968"/>
      <c r="I29" s="968"/>
      <c r="J29" s="968"/>
      <c r="K29" s="968"/>
      <c r="L29" s="968"/>
      <c r="M29" s="968"/>
      <c r="N29" s="968"/>
      <c r="O29" s="968"/>
      <c r="P29" s="968"/>
      <c r="Q29" s="968"/>
      <c r="R29" s="968"/>
      <c r="S29" s="968"/>
      <c r="T29" s="968"/>
      <c r="U29" s="968"/>
      <c r="V29" s="968"/>
      <c r="W29" s="968"/>
      <c r="X29" s="968"/>
      <c r="Y29" s="968"/>
      <c r="Z29" s="968"/>
      <c r="AA29" s="968"/>
      <c r="AB29" s="968"/>
      <c r="AC29" s="968"/>
      <c r="AD29" s="968"/>
      <c r="AE29" s="968"/>
      <c r="AF29" s="968"/>
      <c r="AG29" s="969"/>
      <c r="AH29" s="965" t="s">
        <v>202</v>
      </c>
      <c r="AI29" s="965"/>
      <c r="AJ29" s="965"/>
      <c r="AK29" s="965"/>
      <c r="AL29" s="965"/>
      <c r="AM29" s="965"/>
      <c r="AN29" s="965"/>
      <c r="AO29" s="965"/>
      <c r="AP29" s="965"/>
      <c r="AQ29" s="965"/>
      <c r="AR29" s="965"/>
      <c r="AS29" s="965"/>
      <c r="AT29" s="965"/>
      <c r="AU29" s="965"/>
      <c r="AV29" s="965"/>
      <c r="AW29" s="965"/>
      <c r="AX29" s="965"/>
      <c r="AY29" s="965"/>
      <c r="AZ29" s="965"/>
      <c r="BA29" s="965"/>
      <c r="BB29" s="965"/>
      <c r="BC29" s="965"/>
      <c r="BD29" s="965"/>
      <c r="BE29" s="965"/>
      <c r="BF29" s="965"/>
      <c r="BG29" s="965"/>
      <c r="BH29" s="965"/>
      <c r="BI29" s="965"/>
      <c r="BJ29" s="965"/>
      <c r="BK29" s="965"/>
      <c r="BL29" s="965"/>
      <c r="BM29" s="966"/>
    </row>
    <row r="30" spans="2:65" ht="23.5" customHeight="1">
      <c r="B30" s="970"/>
      <c r="C30" s="971"/>
      <c r="D30" s="971"/>
      <c r="E30" s="971"/>
      <c r="F30" s="971"/>
      <c r="G30" s="971"/>
      <c r="H30" s="971"/>
      <c r="I30" s="971"/>
      <c r="J30" s="971"/>
      <c r="K30" s="971"/>
      <c r="L30" s="971"/>
      <c r="M30" s="971"/>
      <c r="N30" s="971"/>
      <c r="O30" s="971"/>
      <c r="P30" s="971"/>
      <c r="Q30" s="971"/>
      <c r="R30" s="971"/>
      <c r="S30" s="971"/>
      <c r="T30" s="971"/>
      <c r="U30" s="971"/>
      <c r="V30" s="971"/>
      <c r="W30" s="971"/>
      <c r="X30" s="971"/>
      <c r="Y30" s="971"/>
      <c r="Z30" s="971"/>
      <c r="AA30" s="971"/>
      <c r="AB30" s="971"/>
      <c r="AC30" s="971"/>
      <c r="AD30" s="971"/>
      <c r="AE30" s="971"/>
      <c r="AF30" s="971"/>
      <c r="AG30" s="972"/>
      <c r="AH30" s="973" t="s">
        <v>323</v>
      </c>
      <c r="AI30" s="973"/>
      <c r="AJ30" s="973"/>
      <c r="AK30" s="973"/>
      <c r="AL30" s="973"/>
      <c r="AM30" s="973"/>
      <c r="AN30" s="973"/>
      <c r="AO30" s="973"/>
      <c r="AP30" s="973"/>
      <c r="AQ30" s="973"/>
      <c r="AR30" s="973"/>
      <c r="AS30" s="974"/>
      <c r="AT30" s="975"/>
      <c r="AU30" s="965"/>
      <c r="AV30" s="965"/>
      <c r="AW30" s="965"/>
      <c r="AX30" s="965"/>
      <c r="AY30" s="965"/>
      <c r="AZ30" s="965"/>
      <c r="BA30" s="965"/>
      <c r="BB30" s="965"/>
      <c r="BC30" s="965"/>
      <c r="BD30" s="965"/>
      <c r="BE30" s="965"/>
      <c r="BF30" s="965"/>
      <c r="BG30" s="965"/>
      <c r="BH30" s="965"/>
      <c r="BI30" s="965"/>
      <c r="BJ30" s="965"/>
      <c r="BK30" s="965"/>
      <c r="BL30" s="965"/>
      <c r="BM30" s="966"/>
    </row>
    <row r="31" spans="2:65" ht="23.5" customHeight="1">
      <c r="B31" s="120" t="s">
        <v>324</v>
      </c>
      <c r="C31" s="117"/>
      <c r="D31" s="117"/>
      <c r="E31" s="122"/>
      <c r="F31" s="122"/>
      <c r="G31" s="122"/>
      <c r="H31" s="122"/>
      <c r="I31" s="122"/>
      <c r="J31" s="122"/>
      <c r="K31" s="117"/>
      <c r="L31" s="117"/>
      <c r="M31" s="117"/>
      <c r="N31" s="122"/>
      <c r="O31" s="122"/>
      <c r="P31" s="122"/>
      <c r="Q31" s="122"/>
      <c r="R31" s="122"/>
      <c r="S31" s="122"/>
      <c r="T31" s="122"/>
      <c r="U31" s="122"/>
      <c r="V31" s="122"/>
      <c r="W31" s="122"/>
      <c r="X31" s="122"/>
      <c r="Y31" s="122"/>
      <c r="Z31" s="122"/>
      <c r="AA31" s="122"/>
      <c r="AB31" s="122"/>
      <c r="AC31" s="122"/>
      <c r="AD31" s="122"/>
      <c r="AE31" s="122"/>
      <c r="AF31" s="117"/>
      <c r="AG31" s="121"/>
      <c r="AH31" s="964" t="s">
        <v>202</v>
      </c>
      <c r="AI31" s="965"/>
      <c r="AJ31" s="965"/>
      <c r="AK31" s="965"/>
      <c r="AL31" s="965"/>
      <c r="AM31" s="965"/>
      <c r="AN31" s="965"/>
      <c r="AO31" s="965"/>
      <c r="AP31" s="965"/>
      <c r="AQ31" s="965"/>
      <c r="AR31" s="965"/>
      <c r="AS31" s="965"/>
      <c r="AT31" s="965"/>
      <c r="AU31" s="965"/>
      <c r="AV31" s="965"/>
      <c r="AW31" s="965"/>
      <c r="AX31" s="965"/>
      <c r="AY31" s="965"/>
      <c r="AZ31" s="965"/>
      <c r="BA31" s="965"/>
      <c r="BB31" s="965"/>
      <c r="BC31" s="965"/>
      <c r="BD31" s="965"/>
      <c r="BE31" s="965"/>
      <c r="BF31" s="965"/>
      <c r="BG31" s="965"/>
      <c r="BH31" s="965"/>
      <c r="BI31" s="965"/>
      <c r="BJ31" s="965"/>
      <c r="BK31" s="965"/>
      <c r="BL31" s="965"/>
      <c r="BM31" s="966"/>
    </row>
  </sheetData>
  <mergeCells count="96">
    <mergeCell ref="BK10:BM10"/>
    <mergeCell ref="BH10:BJ10"/>
    <mergeCell ref="B10:E10"/>
    <mergeCell ref="AM7:AR7"/>
    <mergeCell ref="AS7:AX7"/>
    <mergeCell ref="AY7:BD7"/>
    <mergeCell ref="B8:E8"/>
    <mergeCell ref="F8:O8"/>
    <mergeCell ref="P8:AC8"/>
    <mergeCell ref="AD8:AF8"/>
    <mergeCell ref="AG8:AL8"/>
    <mergeCell ref="AM8:AR8"/>
    <mergeCell ref="AS8:AX8"/>
    <mergeCell ref="AY8:BD8"/>
    <mergeCell ref="BE8:BM8"/>
    <mergeCell ref="B9:E9"/>
    <mergeCell ref="F9:O9"/>
    <mergeCell ref="P9:AC9"/>
    <mergeCell ref="AD9:AF9"/>
    <mergeCell ref="AG9:AL9"/>
    <mergeCell ref="AM9:AR9"/>
    <mergeCell ref="AS9:AX9"/>
    <mergeCell ref="AY9:BD9"/>
    <mergeCell ref="BE9:BG9"/>
    <mergeCell ref="BH9:BJ9"/>
    <mergeCell ref="BK9:BM9"/>
    <mergeCell ref="AM10:AR10"/>
    <mergeCell ref="AS10:AX10"/>
    <mergeCell ref="AY10:BD10"/>
    <mergeCell ref="BE10:BG10"/>
    <mergeCell ref="B11:E11"/>
    <mergeCell ref="F11:O11"/>
    <mergeCell ref="P11:AC11"/>
    <mergeCell ref="AD11:AF11"/>
    <mergeCell ref="AG11:AL11"/>
    <mergeCell ref="AG10:AL10"/>
    <mergeCell ref="F10:O10"/>
    <mergeCell ref="P10:AC10"/>
    <mergeCell ref="AD10:AF10"/>
    <mergeCell ref="B12:E12"/>
    <mergeCell ref="F12:O12"/>
    <mergeCell ref="P12:AC12"/>
    <mergeCell ref="AD12:AF12"/>
    <mergeCell ref="AG12:AL12"/>
    <mergeCell ref="BH12:BJ12"/>
    <mergeCell ref="BK12:BM12"/>
    <mergeCell ref="AS11:AX11"/>
    <mergeCell ref="AY11:BD11"/>
    <mergeCell ref="BE11:BG11"/>
    <mergeCell ref="BH11:BJ11"/>
    <mergeCell ref="BK11:BM11"/>
    <mergeCell ref="AM12:AR12"/>
    <mergeCell ref="AS12:AX12"/>
    <mergeCell ref="AY12:BD12"/>
    <mergeCell ref="BE12:BG12"/>
    <mergeCell ref="AM11:AR11"/>
    <mergeCell ref="B13:E13"/>
    <mergeCell ref="F13:O13"/>
    <mergeCell ref="P13:AC13"/>
    <mergeCell ref="AD13:AF13"/>
    <mergeCell ref="AG13:AL13"/>
    <mergeCell ref="B14:E14"/>
    <mergeCell ref="F14:O14"/>
    <mergeCell ref="P14:AC14"/>
    <mergeCell ref="AD14:AF14"/>
    <mergeCell ref="AG14:AL14"/>
    <mergeCell ref="BH13:BJ13"/>
    <mergeCell ref="BK13:BM13"/>
    <mergeCell ref="AH25:BM25"/>
    <mergeCell ref="AM14:AR14"/>
    <mergeCell ref="AS14:AX14"/>
    <mergeCell ref="AY14:BD14"/>
    <mergeCell ref="BE14:BG14"/>
    <mergeCell ref="BH14:BJ14"/>
    <mergeCell ref="BK14:BM14"/>
    <mergeCell ref="AM15:AR15"/>
    <mergeCell ref="AS15:AX15"/>
    <mergeCell ref="AY15:BD15"/>
    <mergeCell ref="AM13:AR13"/>
    <mergeCell ref="AS13:AX13"/>
    <mergeCell ref="AY13:BD13"/>
    <mergeCell ref="BE13:BG13"/>
    <mergeCell ref="B18:L20"/>
    <mergeCell ref="B21:L24"/>
    <mergeCell ref="AH31:BM31"/>
    <mergeCell ref="B26:AG27"/>
    <mergeCell ref="AH26:BM26"/>
    <mergeCell ref="AH27:AS27"/>
    <mergeCell ref="B29:AG30"/>
    <mergeCell ref="AH29:BM29"/>
    <mergeCell ref="AH30:AS30"/>
    <mergeCell ref="AT27:BM27"/>
    <mergeCell ref="AT30:BM30"/>
    <mergeCell ref="M18:BM20"/>
    <mergeCell ref="M21:BM24"/>
    <mergeCell ref="AH28:BM28"/>
  </mergeCells>
  <phoneticPr fontId="41"/>
  <dataValidations count="4">
    <dataValidation type="list" allowBlank="1" showInputMessage="1" showErrorMessage="1" sqref="AD10:AD14" xr:uid="{00000000-0002-0000-0C00-000000000000}">
      <formula1>"(選択),購入,リース,レンタル"</formula1>
    </dataValidation>
    <dataValidation type="list" allowBlank="1" showInputMessage="1" showErrorMessage="1" sqref="AH31 AS31:AT31 BM31" xr:uid="{00000000-0002-0000-0C00-000001000000}">
      <formula1>"(選択),特許権を出願予定,実用新案権を出願予定,意匠権を出願予定,商標権を出願予定,出願予定なし"</formula1>
    </dataValidation>
    <dataValidation type="list" allowBlank="1" showInputMessage="1" showErrorMessage="1" sqref="BM26 AH26 AH29 AS26:AT26 AS29:AT29 BM29" xr:uid="{00000000-0002-0000-0C00-000002000000}">
      <formula1>"(選択),特許権,実用新案権,意匠権,商標権,なし"</formula1>
    </dataValidation>
    <dataValidation type="list" allowBlank="1" showInputMessage="1" showErrorMessage="1" sqref="BM25 AH25 AH28 AS25:AT25" xr:uid="{00000000-0002-0000-0C00-000003000000}">
      <formula1>"(選択),はい,いいえ"</formula1>
    </dataValidation>
  </dataValidations>
  <pageMargins left="0.7" right="0.7" top="0.75" bottom="0.75" header="0.3" footer="0.3"/>
  <pageSetup paperSize="9" scale="58"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79998168889431442"/>
  </sheetPr>
  <dimension ref="B1:BM23"/>
  <sheetViews>
    <sheetView view="pageBreakPreview" zoomScale="266" zoomScaleNormal="100" zoomScaleSheetLayoutView="266" workbookViewId="0"/>
  </sheetViews>
  <sheetFormatPr baseColWidth="10" defaultColWidth="2" defaultRowHeight="18"/>
  <cols>
    <col min="1" max="1" width="0.83203125" style="94" customWidth="1"/>
    <col min="2" max="92" width="2" style="94"/>
    <col min="93" max="93" width="0.83203125" style="94" customWidth="1"/>
    <col min="94" max="110" width="2" style="94"/>
    <col min="111" max="111" width="2" style="94" customWidth="1"/>
    <col min="112" max="16384" width="2" style="94"/>
  </cols>
  <sheetData>
    <row r="1" spans="2:65">
      <c r="B1" s="123" t="s">
        <v>465</v>
      </c>
      <c r="C1" s="107"/>
      <c r="D1" s="107"/>
    </row>
    <row r="2" spans="2:65">
      <c r="B2" s="95"/>
      <c r="C2" s="94" t="s">
        <v>246</v>
      </c>
    </row>
    <row r="3" spans="2:65">
      <c r="C3" s="96" t="s">
        <v>530</v>
      </c>
    </row>
    <row r="4" spans="2:65">
      <c r="B4" s="101"/>
      <c r="C4" s="96" t="s">
        <v>423</v>
      </c>
      <c r="D4" s="101"/>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03" t="s">
        <v>247</v>
      </c>
      <c r="AN7" s="903"/>
      <c r="AO7" s="903"/>
      <c r="AP7" s="903"/>
      <c r="AQ7" s="903"/>
      <c r="AR7" s="903"/>
      <c r="AS7" s="903" t="s">
        <v>247</v>
      </c>
      <c r="AT7" s="903"/>
      <c r="AU7" s="903"/>
      <c r="AV7" s="903"/>
      <c r="AW7" s="903"/>
      <c r="AX7" s="903"/>
      <c r="AY7" s="903" t="s">
        <v>248</v>
      </c>
      <c r="AZ7" s="903"/>
      <c r="BA7" s="903"/>
      <c r="BB7" s="903"/>
      <c r="BC7" s="903"/>
      <c r="BD7" s="903"/>
      <c r="BE7" s="97"/>
      <c r="BF7" s="97"/>
      <c r="BG7" s="97"/>
      <c r="BH7" s="98"/>
      <c r="BI7" s="98"/>
      <c r="BJ7" s="97"/>
      <c r="BK7" s="97"/>
      <c r="BL7" s="97"/>
      <c r="BM7" s="99" t="s">
        <v>249</v>
      </c>
    </row>
    <row r="8" spans="2:65">
      <c r="B8" s="904" t="s">
        <v>250</v>
      </c>
      <c r="C8" s="891"/>
      <c r="D8" s="891"/>
      <c r="E8" s="892"/>
      <c r="F8" s="904" t="s">
        <v>251</v>
      </c>
      <c r="G8" s="891"/>
      <c r="H8" s="891"/>
      <c r="I8" s="891"/>
      <c r="J8" s="891"/>
      <c r="K8" s="891"/>
      <c r="L8" s="891"/>
      <c r="M8" s="891"/>
      <c r="N8" s="891"/>
      <c r="O8" s="892"/>
      <c r="P8" s="904" t="s">
        <v>252</v>
      </c>
      <c r="Q8" s="891"/>
      <c r="R8" s="891"/>
      <c r="S8" s="891"/>
      <c r="T8" s="891"/>
      <c r="U8" s="891"/>
      <c r="V8" s="891"/>
      <c r="W8" s="891"/>
      <c r="X8" s="891"/>
      <c r="Y8" s="891"/>
      <c r="Z8" s="891"/>
      <c r="AA8" s="891"/>
      <c r="AB8" s="891"/>
      <c r="AC8" s="892"/>
      <c r="AD8" s="904" t="s">
        <v>253</v>
      </c>
      <c r="AE8" s="891"/>
      <c r="AF8" s="892"/>
      <c r="AG8" s="904" t="s">
        <v>254</v>
      </c>
      <c r="AH8" s="891"/>
      <c r="AI8" s="891"/>
      <c r="AJ8" s="891"/>
      <c r="AK8" s="891"/>
      <c r="AL8" s="892"/>
      <c r="AM8" s="905" t="s">
        <v>255</v>
      </c>
      <c r="AN8" s="905"/>
      <c r="AO8" s="905"/>
      <c r="AP8" s="905"/>
      <c r="AQ8" s="905"/>
      <c r="AR8" s="905"/>
      <c r="AS8" s="904" t="s">
        <v>256</v>
      </c>
      <c r="AT8" s="891"/>
      <c r="AU8" s="891"/>
      <c r="AV8" s="891"/>
      <c r="AW8" s="891"/>
      <c r="AX8" s="892"/>
      <c r="AY8" s="904" t="s">
        <v>257</v>
      </c>
      <c r="AZ8" s="891"/>
      <c r="BA8" s="891"/>
      <c r="BB8" s="891"/>
      <c r="BC8" s="891"/>
      <c r="BD8" s="892"/>
      <c r="BE8" s="891" t="s">
        <v>258</v>
      </c>
      <c r="BF8" s="891"/>
      <c r="BG8" s="891"/>
      <c r="BH8" s="891"/>
      <c r="BI8" s="891"/>
      <c r="BJ8" s="891"/>
      <c r="BK8" s="891"/>
      <c r="BL8" s="891"/>
      <c r="BM8" s="892"/>
    </row>
    <row r="9" spans="2:65">
      <c r="B9" s="893" t="s">
        <v>259</v>
      </c>
      <c r="C9" s="894"/>
      <c r="D9" s="894"/>
      <c r="E9" s="895"/>
      <c r="F9" s="896"/>
      <c r="G9" s="897"/>
      <c r="H9" s="897"/>
      <c r="I9" s="897"/>
      <c r="J9" s="897"/>
      <c r="K9" s="897"/>
      <c r="L9" s="897"/>
      <c r="M9" s="897"/>
      <c r="N9" s="897"/>
      <c r="O9" s="898"/>
      <c r="P9" s="899" t="s">
        <v>260</v>
      </c>
      <c r="Q9" s="899"/>
      <c r="R9" s="899"/>
      <c r="S9" s="899"/>
      <c r="T9" s="899"/>
      <c r="U9" s="899"/>
      <c r="V9" s="899"/>
      <c r="W9" s="899"/>
      <c r="X9" s="899"/>
      <c r="Y9" s="899"/>
      <c r="Z9" s="899"/>
      <c r="AA9" s="899"/>
      <c r="AB9" s="899"/>
      <c r="AC9" s="899"/>
      <c r="AD9" s="899" t="s">
        <v>261</v>
      </c>
      <c r="AE9" s="899"/>
      <c r="AF9" s="899"/>
      <c r="AG9" s="899" t="s">
        <v>262</v>
      </c>
      <c r="AH9" s="899"/>
      <c r="AI9" s="899"/>
      <c r="AJ9" s="899"/>
      <c r="AK9" s="899"/>
      <c r="AL9" s="899"/>
      <c r="AM9" s="899" t="s">
        <v>263</v>
      </c>
      <c r="AN9" s="899"/>
      <c r="AO9" s="899"/>
      <c r="AP9" s="899"/>
      <c r="AQ9" s="899"/>
      <c r="AR9" s="899"/>
      <c r="AS9" s="899" t="s">
        <v>264</v>
      </c>
      <c r="AT9" s="899"/>
      <c r="AU9" s="899"/>
      <c r="AV9" s="899"/>
      <c r="AW9" s="899"/>
      <c r="AX9" s="899"/>
      <c r="AY9" s="899" t="s">
        <v>265</v>
      </c>
      <c r="AZ9" s="899"/>
      <c r="BA9" s="899"/>
      <c r="BB9" s="899"/>
      <c r="BC9" s="899"/>
      <c r="BD9" s="899"/>
      <c r="BE9" s="900" t="s">
        <v>266</v>
      </c>
      <c r="BF9" s="900"/>
      <c r="BG9" s="900"/>
      <c r="BH9" s="901" t="s">
        <v>267</v>
      </c>
      <c r="BI9" s="901"/>
      <c r="BJ9" s="901"/>
      <c r="BK9" s="902" t="s">
        <v>255</v>
      </c>
      <c r="BL9" s="902"/>
      <c r="BM9" s="902"/>
    </row>
    <row r="10" spans="2:65" ht="32.25" customHeight="1">
      <c r="B10" s="881" t="s">
        <v>325</v>
      </c>
      <c r="C10" s="881"/>
      <c r="D10" s="881"/>
      <c r="E10" s="881"/>
      <c r="F10" s="934"/>
      <c r="G10" s="934"/>
      <c r="H10" s="934"/>
      <c r="I10" s="934"/>
      <c r="J10" s="934"/>
      <c r="K10" s="934"/>
      <c r="L10" s="934"/>
      <c r="M10" s="934"/>
      <c r="N10" s="934"/>
      <c r="O10" s="934"/>
      <c r="P10" s="934"/>
      <c r="Q10" s="934"/>
      <c r="R10" s="934"/>
      <c r="S10" s="934"/>
      <c r="T10" s="934"/>
      <c r="U10" s="934"/>
      <c r="V10" s="934"/>
      <c r="W10" s="934"/>
      <c r="X10" s="934"/>
      <c r="Y10" s="934"/>
      <c r="Z10" s="934"/>
      <c r="AA10" s="934"/>
      <c r="AB10" s="934"/>
      <c r="AC10" s="934"/>
      <c r="AD10" s="884" t="s">
        <v>202</v>
      </c>
      <c r="AE10" s="884"/>
      <c r="AF10" s="884"/>
      <c r="AG10" s="885"/>
      <c r="AH10" s="885"/>
      <c r="AI10" s="885"/>
      <c r="AJ10" s="885"/>
      <c r="AK10" s="885"/>
      <c r="AL10" s="885"/>
      <c r="AM10" s="885"/>
      <c r="AN10" s="885"/>
      <c r="AO10" s="885"/>
      <c r="AP10" s="885"/>
      <c r="AQ10" s="885"/>
      <c r="AR10" s="885"/>
      <c r="AS10" s="886" t="str">
        <f>IF(AM10="","",AG10*AM10)</f>
        <v/>
      </c>
      <c r="AT10" s="886"/>
      <c r="AU10" s="886"/>
      <c r="AV10" s="886"/>
      <c r="AW10" s="886"/>
      <c r="AX10" s="886"/>
      <c r="AY10" s="886" t="str">
        <f>IF(AM10="","",ROUNDDOWN(AG10*AM10*1.1,0))</f>
        <v/>
      </c>
      <c r="AZ10" s="886"/>
      <c r="BA10" s="886"/>
      <c r="BB10" s="886"/>
      <c r="BC10" s="886"/>
      <c r="BD10" s="886"/>
      <c r="BE10" s="878" t="str">
        <f>IF(AS10="","",IF(AS10&gt;=300000,"必要",""))</f>
        <v/>
      </c>
      <c r="BF10" s="878"/>
      <c r="BG10" s="878"/>
      <c r="BH10" s="878" t="str">
        <f>IF(AS10="","",IF(AS10&gt;=1000000,"必要",""))</f>
        <v/>
      </c>
      <c r="BI10" s="878"/>
      <c r="BJ10" s="878"/>
      <c r="BK10" s="879" t="str">
        <f>IF(AM10="","",IF(AM10&lt;100000,"×","〇"))</f>
        <v/>
      </c>
      <c r="BL10" s="879"/>
      <c r="BM10" s="879"/>
    </row>
    <row r="11" spans="2:65" ht="32.25" customHeight="1">
      <c r="B11" s="881" t="s">
        <v>326</v>
      </c>
      <c r="C11" s="881"/>
      <c r="D11" s="881"/>
      <c r="E11" s="881"/>
      <c r="F11" s="934"/>
      <c r="G11" s="934"/>
      <c r="H11" s="934"/>
      <c r="I11" s="934"/>
      <c r="J11" s="934"/>
      <c r="K11" s="934"/>
      <c r="L11" s="934"/>
      <c r="M11" s="934"/>
      <c r="N11" s="934"/>
      <c r="O11" s="934"/>
      <c r="P11" s="934"/>
      <c r="Q11" s="934"/>
      <c r="R11" s="934"/>
      <c r="S11" s="934"/>
      <c r="T11" s="934"/>
      <c r="U11" s="934"/>
      <c r="V11" s="934"/>
      <c r="W11" s="934"/>
      <c r="X11" s="934"/>
      <c r="Y11" s="934"/>
      <c r="Z11" s="934"/>
      <c r="AA11" s="934"/>
      <c r="AB11" s="934"/>
      <c r="AC11" s="934"/>
      <c r="AD11" s="884" t="s">
        <v>202</v>
      </c>
      <c r="AE11" s="884"/>
      <c r="AF11" s="884"/>
      <c r="AG11" s="885"/>
      <c r="AH11" s="885"/>
      <c r="AI11" s="885"/>
      <c r="AJ11" s="885"/>
      <c r="AK11" s="885"/>
      <c r="AL11" s="885"/>
      <c r="AM11" s="885"/>
      <c r="AN11" s="885"/>
      <c r="AO11" s="885"/>
      <c r="AP11" s="885"/>
      <c r="AQ11" s="885"/>
      <c r="AR11" s="885"/>
      <c r="AS11" s="886" t="str">
        <f>IF(AM11="","",AG11*AM11)</f>
        <v/>
      </c>
      <c r="AT11" s="886"/>
      <c r="AU11" s="886"/>
      <c r="AV11" s="886"/>
      <c r="AW11" s="886"/>
      <c r="AX11" s="886"/>
      <c r="AY11" s="886" t="str">
        <f>IF(AM11="","",ROUNDDOWN(AG11*AM11*1.1,0))</f>
        <v/>
      </c>
      <c r="AZ11" s="886"/>
      <c r="BA11" s="886"/>
      <c r="BB11" s="886"/>
      <c r="BC11" s="886"/>
      <c r="BD11" s="886"/>
      <c r="BE11" s="878" t="str">
        <f>IF(AS11="","",IF(AS11&gt;=300000,"必要",""))</f>
        <v/>
      </c>
      <c r="BF11" s="878"/>
      <c r="BG11" s="878"/>
      <c r="BH11" s="878" t="str">
        <f>IF(AS11="","",IF(AS11&gt;=1000000,"必要",""))</f>
        <v/>
      </c>
      <c r="BI11" s="878"/>
      <c r="BJ11" s="878"/>
      <c r="BK11" s="879" t="str">
        <f>IF(AM11="","",IF(AM11&lt;100000,"×","〇"))</f>
        <v/>
      </c>
      <c r="BL11" s="879"/>
      <c r="BM11" s="879"/>
    </row>
    <row r="12" spans="2:65" ht="32.25" customHeight="1">
      <c r="B12" s="881" t="s">
        <v>327</v>
      </c>
      <c r="C12" s="881"/>
      <c r="D12" s="881"/>
      <c r="E12" s="881"/>
      <c r="F12" s="934"/>
      <c r="G12" s="934"/>
      <c r="H12" s="934"/>
      <c r="I12" s="934"/>
      <c r="J12" s="934"/>
      <c r="K12" s="934"/>
      <c r="L12" s="934"/>
      <c r="M12" s="934"/>
      <c r="N12" s="934"/>
      <c r="O12" s="934"/>
      <c r="P12" s="934"/>
      <c r="Q12" s="934"/>
      <c r="R12" s="934"/>
      <c r="S12" s="934"/>
      <c r="T12" s="934"/>
      <c r="U12" s="934"/>
      <c r="V12" s="934"/>
      <c r="W12" s="934"/>
      <c r="X12" s="934"/>
      <c r="Y12" s="934"/>
      <c r="Z12" s="934"/>
      <c r="AA12" s="934"/>
      <c r="AB12" s="934"/>
      <c r="AC12" s="934"/>
      <c r="AD12" s="884" t="s">
        <v>202</v>
      </c>
      <c r="AE12" s="884"/>
      <c r="AF12" s="884"/>
      <c r="AG12" s="885"/>
      <c r="AH12" s="885"/>
      <c r="AI12" s="885"/>
      <c r="AJ12" s="885"/>
      <c r="AK12" s="885"/>
      <c r="AL12" s="885"/>
      <c r="AM12" s="885"/>
      <c r="AN12" s="885"/>
      <c r="AO12" s="885"/>
      <c r="AP12" s="885"/>
      <c r="AQ12" s="885"/>
      <c r="AR12" s="885"/>
      <c r="AS12" s="886" t="str">
        <f>IF(AM12="","",AG12*AM12)</f>
        <v/>
      </c>
      <c r="AT12" s="886"/>
      <c r="AU12" s="886"/>
      <c r="AV12" s="886"/>
      <c r="AW12" s="886"/>
      <c r="AX12" s="886"/>
      <c r="AY12" s="886" t="str">
        <f>IF(AM12="","",ROUNDDOWN(AG12*AM12*1.1,0))</f>
        <v/>
      </c>
      <c r="AZ12" s="886"/>
      <c r="BA12" s="886"/>
      <c r="BB12" s="886"/>
      <c r="BC12" s="886"/>
      <c r="BD12" s="886"/>
      <c r="BE12" s="878" t="str">
        <f>IF(AS12="","",IF(AS12&gt;=300000,"必要",""))</f>
        <v/>
      </c>
      <c r="BF12" s="878"/>
      <c r="BG12" s="878"/>
      <c r="BH12" s="878" t="str">
        <f>IF(AS12="","",IF(AS12&gt;=1000000,"必要",""))</f>
        <v/>
      </c>
      <c r="BI12" s="878"/>
      <c r="BJ12" s="878"/>
      <c r="BK12" s="879" t="str">
        <f>IF(AM12="","",IF(AM12&lt;100000,"×","〇"))</f>
        <v/>
      </c>
      <c r="BL12" s="879"/>
      <c r="BM12" s="879"/>
    </row>
    <row r="13" spans="2:65" ht="32.25" customHeight="1">
      <c r="B13" s="881" t="s">
        <v>328</v>
      </c>
      <c r="C13" s="881"/>
      <c r="D13" s="881"/>
      <c r="E13" s="881"/>
      <c r="F13" s="934"/>
      <c r="G13" s="934"/>
      <c r="H13" s="934"/>
      <c r="I13" s="934"/>
      <c r="J13" s="934"/>
      <c r="K13" s="934"/>
      <c r="L13" s="934"/>
      <c r="M13" s="934"/>
      <c r="N13" s="934"/>
      <c r="O13" s="934"/>
      <c r="P13" s="934"/>
      <c r="Q13" s="934"/>
      <c r="R13" s="934"/>
      <c r="S13" s="934"/>
      <c r="T13" s="934"/>
      <c r="U13" s="934"/>
      <c r="V13" s="934"/>
      <c r="W13" s="934"/>
      <c r="X13" s="934"/>
      <c r="Y13" s="934"/>
      <c r="Z13" s="934"/>
      <c r="AA13" s="934"/>
      <c r="AB13" s="934"/>
      <c r="AC13" s="934"/>
      <c r="AD13" s="884" t="s">
        <v>202</v>
      </c>
      <c r="AE13" s="884"/>
      <c r="AF13" s="884"/>
      <c r="AG13" s="885"/>
      <c r="AH13" s="885"/>
      <c r="AI13" s="885"/>
      <c r="AJ13" s="885"/>
      <c r="AK13" s="885"/>
      <c r="AL13" s="885"/>
      <c r="AM13" s="885"/>
      <c r="AN13" s="885"/>
      <c r="AO13" s="885"/>
      <c r="AP13" s="885"/>
      <c r="AQ13" s="885"/>
      <c r="AR13" s="885"/>
      <c r="AS13" s="886" t="str">
        <f>IF(AM13="","",AG13*AM13)</f>
        <v/>
      </c>
      <c r="AT13" s="886"/>
      <c r="AU13" s="886"/>
      <c r="AV13" s="886"/>
      <c r="AW13" s="886"/>
      <c r="AX13" s="886"/>
      <c r="AY13" s="886" t="str">
        <f>IF(AM13="","",ROUNDDOWN(AG13*AM13*1.1,0))</f>
        <v/>
      </c>
      <c r="AZ13" s="886"/>
      <c r="BA13" s="886"/>
      <c r="BB13" s="886"/>
      <c r="BC13" s="886"/>
      <c r="BD13" s="886"/>
      <c r="BE13" s="878" t="str">
        <f>IF(AS13="","",IF(AS13&gt;=300000,"必要",""))</f>
        <v/>
      </c>
      <c r="BF13" s="878"/>
      <c r="BG13" s="878"/>
      <c r="BH13" s="878" t="str">
        <f>IF(AS13="","",IF(AS13&gt;=1000000,"必要",""))</f>
        <v/>
      </c>
      <c r="BI13" s="878"/>
      <c r="BJ13" s="878"/>
      <c r="BK13" s="879" t="str">
        <f>IF(AM13="","",IF(AM13&lt;100000,"×","〇"))</f>
        <v/>
      </c>
      <c r="BL13" s="879"/>
      <c r="BM13" s="879"/>
    </row>
    <row r="14" spans="2:65" ht="32.25" customHeight="1">
      <c r="B14" s="881" t="s">
        <v>329</v>
      </c>
      <c r="C14" s="881"/>
      <c r="D14" s="881"/>
      <c r="E14" s="881"/>
      <c r="F14" s="934"/>
      <c r="G14" s="934"/>
      <c r="H14" s="934"/>
      <c r="I14" s="934"/>
      <c r="J14" s="934"/>
      <c r="K14" s="934"/>
      <c r="L14" s="934"/>
      <c r="M14" s="934"/>
      <c r="N14" s="934"/>
      <c r="O14" s="934"/>
      <c r="P14" s="934"/>
      <c r="Q14" s="934"/>
      <c r="R14" s="934"/>
      <c r="S14" s="934"/>
      <c r="T14" s="934"/>
      <c r="U14" s="934"/>
      <c r="V14" s="934"/>
      <c r="W14" s="934"/>
      <c r="X14" s="934"/>
      <c r="Y14" s="934"/>
      <c r="Z14" s="934"/>
      <c r="AA14" s="934"/>
      <c r="AB14" s="934"/>
      <c r="AC14" s="934"/>
      <c r="AD14" s="884" t="s">
        <v>202</v>
      </c>
      <c r="AE14" s="884"/>
      <c r="AF14" s="884"/>
      <c r="AG14" s="885"/>
      <c r="AH14" s="885"/>
      <c r="AI14" s="885"/>
      <c r="AJ14" s="885"/>
      <c r="AK14" s="885"/>
      <c r="AL14" s="885"/>
      <c r="AM14" s="885"/>
      <c r="AN14" s="885"/>
      <c r="AO14" s="885"/>
      <c r="AP14" s="885"/>
      <c r="AQ14" s="885"/>
      <c r="AR14" s="885"/>
      <c r="AS14" s="886" t="str">
        <f>IF(AM14="","",AG14*AM14)</f>
        <v/>
      </c>
      <c r="AT14" s="886"/>
      <c r="AU14" s="886"/>
      <c r="AV14" s="886"/>
      <c r="AW14" s="886"/>
      <c r="AX14" s="886"/>
      <c r="AY14" s="886" t="str">
        <f>IF(AM14="","",ROUNDDOWN(AG14*AM14*1.1,0))</f>
        <v/>
      </c>
      <c r="AZ14" s="886"/>
      <c r="BA14" s="886"/>
      <c r="BB14" s="886"/>
      <c r="BC14" s="886"/>
      <c r="BD14" s="886"/>
      <c r="BE14" s="878" t="str">
        <f>IF(AS14="","",IF(AS14&gt;=300000,"必要",""))</f>
        <v/>
      </c>
      <c r="BF14" s="878"/>
      <c r="BG14" s="878"/>
      <c r="BH14" s="878" t="str">
        <f>IF(AS14="","",IF(AS14&gt;=1000000,"必要",""))</f>
        <v/>
      </c>
      <c r="BI14" s="878"/>
      <c r="BJ14" s="878"/>
      <c r="BK14" s="879" t="str">
        <f>IF(AM14="","",IF(AM14&lt;100000,"×","〇"))</f>
        <v/>
      </c>
      <c r="BL14" s="879"/>
      <c r="BM14" s="879"/>
    </row>
    <row r="15" spans="2:65" ht="32.25" customHeight="1">
      <c r="AM15" s="887" t="s">
        <v>34</v>
      </c>
      <c r="AN15" s="887"/>
      <c r="AO15" s="887"/>
      <c r="AP15" s="887"/>
      <c r="AQ15" s="887"/>
      <c r="AR15" s="888"/>
      <c r="AS15" s="889">
        <f>SUM(AS10:AX14)</f>
        <v>0</v>
      </c>
      <c r="AT15" s="889"/>
      <c r="AU15" s="889"/>
      <c r="AV15" s="889"/>
      <c r="AW15" s="889"/>
      <c r="AX15" s="889"/>
      <c r="AY15" s="889">
        <f>SUM(AY10:BD14)</f>
        <v>0</v>
      </c>
      <c r="AZ15" s="889"/>
      <c r="BA15" s="889"/>
      <c r="BB15" s="889"/>
      <c r="BC15" s="889"/>
      <c r="BD15" s="889"/>
    </row>
    <row r="16" spans="2:65">
      <c r="B16" s="94" t="s">
        <v>330</v>
      </c>
    </row>
    <row r="17" spans="2:65">
      <c r="C17" s="94" t="s">
        <v>331</v>
      </c>
    </row>
    <row r="18" spans="2:65">
      <c r="C18" s="94" t="s">
        <v>303</v>
      </c>
    </row>
    <row r="19" spans="2:65" ht="23.5" customHeight="1">
      <c r="B19" s="177" t="s">
        <v>304</v>
      </c>
      <c r="C19" s="177"/>
      <c r="D19" s="177"/>
      <c r="E19" s="177"/>
      <c r="F19" s="944"/>
      <c r="G19" s="945"/>
      <c r="H19" s="945"/>
      <c r="I19" s="945"/>
      <c r="J19" s="946"/>
      <c r="K19" s="992" t="s">
        <v>434</v>
      </c>
      <c r="L19" s="993"/>
      <c r="M19" s="993"/>
      <c r="N19" s="993"/>
      <c r="O19" s="994"/>
      <c r="P19" s="944"/>
      <c r="Q19" s="945"/>
      <c r="R19" s="945"/>
      <c r="S19" s="945"/>
      <c r="T19" s="945"/>
      <c r="U19" s="945"/>
      <c r="V19" s="945"/>
      <c r="W19" s="945"/>
      <c r="X19" s="945"/>
      <c r="Y19" s="945"/>
      <c r="Z19" s="945"/>
      <c r="AA19" s="945"/>
      <c r="AB19" s="945"/>
      <c r="AC19" s="945"/>
      <c r="AD19" s="945"/>
      <c r="AE19" s="945"/>
      <c r="AF19" s="945"/>
      <c r="AG19" s="945"/>
      <c r="AH19" s="945"/>
      <c r="AI19" s="945"/>
      <c r="AJ19" s="945"/>
      <c r="AK19" s="945"/>
      <c r="AL19" s="945"/>
      <c r="AM19" s="945"/>
      <c r="AN19" s="945"/>
      <c r="AO19" s="945"/>
      <c r="AP19" s="945"/>
      <c r="AQ19" s="945"/>
      <c r="AR19" s="945"/>
      <c r="AS19" s="945"/>
      <c r="AT19" s="945"/>
      <c r="AU19" s="945"/>
      <c r="AV19" s="945"/>
      <c r="AW19" s="945"/>
      <c r="AX19" s="945"/>
      <c r="AY19" s="945"/>
      <c r="AZ19" s="945"/>
      <c r="BA19" s="945"/>
      <c r="BB19" s="945"/>
      <c r="BC19" s="945"/>
      <c r="BD19" s="945"/>
      <c r="BE19" s="945"/>
      <c r="BF19" s="945"/>
      <c r="BG19" s="945"/>
      <c r="BH19" s="945"/>
      <c r="BI19" s="945"/>
      <c r="BJ19" s="945"/>
      <c r="BK19" s="945"/>
      <c r="BL19" s="945"/>
      <c r="BM19" s="946"/>
    </row>
    <row r="20" spans="2:65" ht="23.5" customHeight="1">
      <c r="B20" s="985" t="s">
        <v>435</v>
      </c>
      <c r="C20" s="986"/>
      <c r="D20" s="986"/>
      <c r="E20" s="986"/>
      <c r="F20" s="986"/>
      <c r="G20" s="986"/>
      <c r="H20" s="986"/>
      <c r="I20" s="986"/>
      <c r="J20" s="986"/>
      <c r="K20" s="986"/>
      <c r="L20" s="986"/>
      <c r="M20" s="986"/>
      <c r="N20" s="986"/>
      <c r="O20" s="987"/>
      <c r="P20" s="989"/>
      <c r="Q20" s="990"/>
      <c r="R20" s="990"/>
      <c r="S20" s="990"/>
      <c r="T20" s="990"/>
      <c r="U20" s="990"/>
      <c r="V20" s="990"/>
      <c r="W20" s="990"/>
      <c r="X20" s="990"/>
      <c r="Y20" s="990"/>
      <c r="Z20" s="990"/>
      <c r="AA20" s="990"/>
      <c r="AB20" s="990"/>
      <c r="AC20" s="990"/>
      <c r="AD20" s="990"/>
      <c r="AE20" s="990"/>
      <c r="AF20" s="990"/>
      <c r="AG20" s="990"/>
      <c r="AH20" s="990"/>
      <c r="AI20" s="990"/>
      <c r="AJ20" s="990"/>
      <c r="AK20" s="990"/>
      <c r="AL20" s="990"/>
      <c r="AM20" s="990"/>
      <c r="AN20" s="990"/>
      <c r="AO20" s="990"/>
      <c r="AP20" s="990"/>
      <c r="AQ20" s="990"/>
      <c r="AR20" s="990"/>
      <c r="AS20" s="990"/>
      <c r="AT20" s="990"/>
      <c r="AU20" s="990"/>
      <c r="AV20" s="990"/>
      <c r="AW20" s="990"/>
      <c r="AX20" s="990"/>
      <c r="AY20" s="990"/>
      <c r="AZ20" s="990"/>
      <c r="BA20" s="990"/>
      <c r="BB20" s="990"/>
      <c r="BC20" s="990"/>
      <c r="BD20" s="990"/>
      <c r="BE20" s="990"/>
      <c r="BF20" s="990"/>
      <c r="BG20" s="990"/>
      <c r="BH20" s="990"/>
      <c r="BI20" s="990"/>
      <c r="BJ20" s="990"/>
      <c r="BK20" s="990"/>
      <c r="BL20" s="990"/>
      <c r="BM20" s="991"/>
    </row>
    <row r="21" spans="2:65" ht="23.5" customHeight="1">
      <c r="B21" s="937" t="s">
        <v>305</v>
      </c>
      <c r="C21" s="938"/>
      <c r="D21" s="938"/>
      <c r="E21" s="938"/>
      <c r="F21" s="938"/>
      <c r="G21" s="938"/>
      <c r="H21" s="938"/>
      <c r="I21" s="938"/>
      <c r="J21" s="938"/>
      <c r="K21" s="938"/>
      <c r="L21" s="938"/>
      <c r="M21" s="938"/>
      <c r="N21" s="938"/>
      <c r="O21" s="939"/>
      <c r="P21" s="988" t="s">
        <v>306</v>
      </c>
      <c r="Q21" s="945"/>
      <c r="R21" s="945"/>
      <c r="S21" s="945"/>
      <c r="T21" s="945"/>
      <c r="U21" s="945"/>
      <c r="V21" s="945"/>
      <c r="W21" s="945"/>
      <c r="X21" s="945"/>
      <c r="Y21" s="945"/>
      <c r="Z21" s="945"/>
      <c r="AA21" s="945"/>
      <c r="AB21" s="945"/>
      <c r="AC21" s="945"/>
      <c r="AD21" s="945"/>
      <c r="AE21" s="945"/>
      <c r="AF21" s="945"/>
      <c r="AG21" s="945"/>
      <c r="AH21" s="945"/>
      <c r="AI21" s="945"/>
      <c r="AJ21" s="945"/>
      <c r="AK21" s="945"/>
      <c r="AL21" s="945"/>
      <c r="AM21" s="945"/>
      <c r="AN21" s="945"/>
      <c r="AO21" s="945"/>
      <c r="AP21" s="945"/>
      <c r="AQ21" s="945"/>
      <c r="AR21" s="945"/>
      <c r="AS21" s="945"/>
      <c r="AT21" s="945"/>
      <c r="AU21" s="945"/>
      <c r="AV21" s="945"/>
      <c r="AW21" s="945"/>
      <c r="AX21" s="945"/>
      <c r="AY21" s="945"/>
      <c r="AZ21" s="945"/>
      <c r="BA21" s="945"/>
      <c r="BB21" s="945"/>
      <c r="BC21" s="945"/>
      <c r="BD21" s="945"/>
      <c r="BE21" s="945"/>
      <c r="BF21" s="945"/>
      <c r="BG21" s="945"/>
      <c r="BH21" s="945"/>
      <c r="BI21" s="945"/>
      <c r="BJ21" s="945"/>
      <c r="BK21" s="945"/>
      <c r="BL21" s="945"/>
      <c r="BM21" s="946"/>
    </row>
    <row r="22" spans="2:65" ht="23.5" customHeight="1">
      <c r="B22" s="937" t="s">
        <v>308</v>
      </c>
      <c r="C22" s="938"/>
      <c r="D22" s="938"/>
      <c r="E22" s="938"/>
      <c r="F22" s="938"/>
      <c r="G22" s="938"/>
      <c r="H22" s="938"/>
      <c r="I22" s="938"/>
      <c r="J22" s="938"/>
      <c r="K22" s="938"/>
      <c r="L22" s="938"/>
      <c r="M22" s="938"/>
      <c r="N22" s="938"/>
      <c r="O22" s="939"/>
      <c r="P22" s="989"/>
      <c r="Q22" s="990"/>
      <c r="R22" s="990"/>
      <c r="S22" s="990"/>
      <c r="T22" s="990"/>
      <c r="U22" s="990"/>
      <c r="V22" s="990"/>
      <c r="W22" s="990"/>
      <c r="X22" s="990"/>
      <c r="Y22" s="990"/>
      <c r="Z22" s="990"/>
      <c r="AA22" s="990"/>
      <c r="AB22" s="990"/>
      <c r="AC22" s="990"/>
      <c r="AD22" s="990"/>
      <c r="AE22" s="990"/>
      <c r="AF22" s="990"/>
      <c r="AG22" s="990"/>
      <c r="AH22" s="990"/>
      <c r="AI22" s="990"/>
      <c r="AJ22" s="990"/>
      <c r="AK22" s="990"/>
      <c r="AL22" s="990"/>
      <c r="AM22" s="990"/>
      <c r="AN22" s="990"/>
      <c r="AO22" s="990"/>
      <c r="AP22" s="990"/>
      <c r="AQ22" s="990"/>
      <c r="AR22" s="990"/>
      <c r="AS22" s="990"/>
      <c r="AT22" s="990"/>
      <c r="AU22" s="990"/>
      <c r="AV22" s="990"/>
      <c r="AW22" s="990"/>
      <c r="AX22" s="990"/>
      <c r="AY22" s="990"/>
      <c r="AZ22" s="990"/>
      <c r="BA22" s="990"/>
      <c r="BB22" s="990"/>
      <c r="BC22" s="990"/>
      <c r="BD22" s="990"/>
      <c r="BE22" s="990"/>
      <c r="BF22" s="990"/>
      <c r="BG22" s="990"/>
      <c r="BH22" s="990"/>
      <c r="BI22" s="990"/>
      <c r="BJ22" s="990"/>
      <c r="BK22" s="990"/>
      <c r="BL22" s="990"/>
      <c r="BM22" s="991"/>
    </row>
    <row r="23" spans="2:65" ht="23.5" customHeight="1">
      <c r="B23" s="940" t="s">
        <v>309</v>
      </c>
      <c r="C23" s="940"/>
      <c r="D23" s="940"/>
      <c r="E23" s="940"/>
      <c r="F23" s="940"/>
      <c r="G23" s="940"/>
      <c r="H23" s="940"/>
      <c r="I23" s="940"/>
      <c r="J23" s="940"/>
      <c r="K23" s="940"/>
      <c r="L23" s="940"/>
      <c r="M23" s="940"/>
      <c r="N23" s="940"/>
      <c r="O23" s="940"/>
      <c r="P23" s="940"/>
      <c r="Q23" s="940"/>
      <c r="R23" s="940"/>
      <c r="S23" s="940"/>
      <c r="T23" s="940"/>
      <c r="U23" s="940"/>
      <c r="V23" s="940"/>
      <c r="W23" s="940"/>
      <c r="X23" s="940"/>
      <c r="Y23" s="940"/>
      <c r="Z23" s="940"/>
      <c r="AA23" s="940"/>
      <c r="AB23" s="940"/>
      <c r="AC23" s="940"/>
      <c r="AD23" s="940"/>
      <c r="AE23" s="940"/>
      <c r="AF23" s="940"/>
      <c r="AG23" s="940"/>
      <c r="AH23" s="940"/>
      <c r="AI23" s="940"/>
      <c r="AJ23" s="940"/>
      <c r="AK23" s="940"/>
      <c r="AL23" s="940"/>
      <c r="AM23" s="940"/>
      <c r="AN23" s="940"/>
      <c r="AO23" s="940"/>
      <c r="AP23" s="940"/>
      <c r="AQ23" s="940"/>
      <c r="AR23" s="940"/>
      <c r="AS23" s="940"/>
      <c r="AT23" s="940"/>
      <c r="AU23" s="940"/>
      <c r="AV23" s="940"/>
      <c r="AW23" s="940"/>
      <c r="AX23" s="940"/>
      <c r="AY23" s="940"/>
      <c r="AZ23" s="940"/>
      <c r="BA23" s="940"/>
      <c r="BB23" s="940"/>
      <c r="BC23" s="940"/>
      <c r="BD23" s="940"/>
      <c r="BE23" s="940"/>
      <c r="BF23" s="907" t="s">
        <v>295</v>
      </c>
      <c r="BG23" s="907"/>
      <c r="BH23" s="907"/>
      <c r="BI23" s="907"/>
      <c r="BJ23" s="907"/>
      <c r="BK23" s="907"/>
      <c r="BL23" s="907"/>
      <c r="BM23" s="907"/>
    </row>
  </sheetData>
  <mergeCells count="92">
    <mergeCell ref="AM7:AR7"/>
    <mergeCell ref="AS7:AX7"/>
    <mergeCell ref="AY7:BD7"/>
    <mergeCell ref="B8:E8"/>
    <mergeCell ref="F8:O8"/>
    <mergeCell ref="P8:AC8"/>
    <mergeCell ref="AD8:AF8"/>
    <mergeCell ref="AG8:AL8"/>
    <mergeCell ref="AM8:AR8"/>
    <mergeCell ref="AS8:AX8"/>
    <mergeCell ref="AY8:BD8"/>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F11:O11"/>
    <mergeCell ref="P11:AC11"/>
    <mergeCell ref="AD11:AF11"/>
    <mergeCell ref="AG11:AL11"/>
    <mergeCell ref="AM11:AR11"/>
    <mergeCell ref="B10:E10"/>
    <mergeCell ref="F10:O10"/>
    <mergeCell ref="P10:AC10"/>
    <mergeCell ref="AD10:AF10"/>
    <mergeCell ref="AG10:AL10"/>
    <mergeCell ref="AM10:AR10"/>
    <mergeCell ref="AS10:AX10"/>
    <mergeCell ref="AS11:AX11"/>
    <mergeCell ref="AY11:BD11"/>
    <mergeCell ref="BE11:BG11"/>
    <mergeCell ref="BH11:BJ11"/>
    <mergeCell ref="BK11:BM11"/>
    <mergeCell ref="BE13:BG13"/>
    <mergeCell ref="BH13:BJ13"/>
    <mergeCell ref="BK13:BM13"/>
    <mergeCell ref="AY12:BD12"/>
    <mergeCell ref="BE12:BG12"/>
    <mergeCell ref="BH12:BJ12"/>
    <mergeCell ref="BK12:BM12"/>
    <mergeCell ref="B14:E14"/>
    <mergeCell ref="F14:O14"/>
    <mergeCell ref="P14:AC14"/>
    <mergeCell ref="AD14:AF14"/>
    <mergeCell ref="AG14:AL14"/>
    <mergeCell ref="B13:E13"/>
    <mergeCell ref="F13:O13"/>
    <mergeCell ref="P13:AC13"/>
    <mergeCell ref="AD13:AF13"/>
    <mergeCell ref="AG13:AL13"/>
    <mergeCell ref="AM13:AR13"/>
    <mergeCell ref="AM15:AR15"/>
    <mergeCell ref="AS15:AX15"/>
    <mergeCell ref="AY15:BD15"/>
    <mergeCell ref="AM14:AR14"/>
    <mergeCell ref="AS14:AX14"/>
    <mergeCell ref="AY14:BD14"/>
    <mergeCell ref="AS13:AX13"/>
    <mergeCell ref="AY13:BD13"/>
    <mergeCell ref="BE14:BG14"/>
    <mergeCell ref="BH14:BJ14"/>
    <mergeCell ref="BK14:BM14"/>
    <mergeCell ref="K19:O19"/>
    <mergeCell ref="F19:J19"/>
    <mergeCell ref="P19:BM19"/>
    <mergeCell ref="B23:BE23"/>
    <mergeCell ref="BF23:BM23"/>
    <mergeCell ref="B21:O21"/>
    <mergeCell ref="B20:O20"/>
    <mergeCell ref="B22:O22"/>
    <mergeCell ref="P21:BM21"/>
    <mergeCell ref="P20:BM20"/>
    <mergeCell ref="P22:BM22"/>
  </mergeCells>
  <phoneticPr fontId="41"/>
  <dataValidations count="2">
    <dataValidation type="list" allowBlank="1" showInputMessage="1" showErrorMessage="1" sqref="AD10:AD14" xr:uid="{00000000-0002-0000-0D00-000000000000}">
      <formula1>"(選択),購入,リース,レンタル"</formula1>
    </dataValidation>
    <dataValidation type="list" allowBlank="1" showInputMessage="1" showErrorMessage="1" error="プルダウンより選択してください" prompt="プルダウンより選択してください" sqref="BF23:BM23" xr:uid="{00000000-0002-0000-0D00-000001000000}">
      <formula1>"選択してください,関連あり,関連なし"</formula1>
    </dataValidation>
  </dataValidations>
  <pageMargins left="0.7" right="0.7" top="0.75" bottom="0.75" header="0.3" footer="0.3"/>
  <pageSetup paperSize="9" scale="57"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79998168889431442"/>
  </sheetPr>
  <dimension ref="B1:BM20"/>
  <sheetViews>
    <sheetView view="pageBreakPreview" zoomScale="243" zoomScaleNormal="100" zoomScaleSheetLayoutView="243" workbookViewId="0">
      <selection activeCell="P10" sqref="P10:AC10"/>
    </sheetView>
  </sheetViews>
  <sheetFormatPr baseColWidth="10" defaultColWidth="2" defaultRowHeight="18"/>
  <cols>
    <col min="1" max="1" width="0.83203125" style="94" customWidth="1"/>
    <col min="2" max="65" width="2" style="94"/>
    <col min="66" max="66" width="0.83203125" style="94" customWidth="1"/>
    <col min="67" max="83" width="2" style="94"/>
    <col min="84" max="84" width="2" style="94" customWidth="1"/>
    <col min="85" max="16384" width="2" style="94"/>
  </cols>
  <sheetData>
    <row r="1" spans="2:65">
      <c r="B1" s="108" t="s">
        <v>466</v>
      </c>
    </row>
    <row r="2" spans="2:65">
      <c r="B2" s="95"/>
      <c r="C2" s="94" t="s">
        <v>246</v>
      </c>
    </row>
    <row r="3" spans="2:65">
      <c r="B3" s="94" t="s">
        <v>310</v>
      </c>
      <c r="C3" s="96" t="s">
        <v>530</v>
      </c>
    </row>
    <row r="4" spans="2:65">
      <c r="B4" s="101" t="s">
        <v>311</v>
      </c>
      <c r="C4" s="96" t="s">
        <v>423</v>
      </c>
    </row>
    <row r="5" spans="2:65">
      <c r="B5" s="136" t="s">
        <v>332</v>
      </c>
    </row>
    <row r="7" spans="2:65">
      <c r="B7" s="124"/>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03" t="s">
        <v>247</v>
      </c>
      <c r="AN7" s="903"/>
      <c r="AO7" s="903"/>
      <c r="AP7" s="903"/>
      <c r="AQ7" s="903"/>
      <c r="AR7" s="903"/>
      <c r="AS7" s="903" t="s">
        <v>247</v>
      </c>
      <c r="AT7" s="903"/>
      <c r="AU7" s="903"/>
      <c r="AV7" s="903"/>
      <c r="AW7" s="903"/>
      <c r="AX7" s="903"/>
      <c r="AY7" s="903" t="s">
        <v>248</v>
      </c>
      <c r="AZ7" s="903"/>
      <c r="BA7" s="903"/>
      <c r="BB7" s="903"/>
      <c r="BC7" s="903"/>
      <c r="BD7" s="903"/>
      <c r="BE7" s="97"/>
      <c r="BF7" s="97"/>
      <c r="BG7" s="97"/>
      <c r="BH7" s="98"/>
      <c r="BI7" s="98"/>
      <c r="BJ7" s="97"/>
      <c r="BK7" s="97"/>
      <c r="BL7" s="97"/>
      <c r="BM7" s="99" t="s">
        <v>249</v>
      </c>
    </row>
    <row r="8" spans="2:65">
      <c r="B8" s="904" t="s">
        <v>250</v>
      </c>
      <c r="C8" s="891"/>
      <c r="D8" s="891"/>
      <c r="E8" s="892"/>
      <c r="F8" s="904" t="s">
        <v>333</v>
      </c>
      <c r="G8" s="891"/>
      <c r="H8" s="891"/>
      <c r="I8" s="891"/>
      <c r="J8" s="891"/>
      <c r="K8" s="891"/>
      <c r="L8" s="891"/>
      <c r="M8" s="891"/>
      <c r="N8" s="891"/>
      <c r="O8" s="892"/>
      <c r="P8" s="904" t="s">
        <v>252</v>
      </c>
      <c r="Q8" s="891"/>
      <c r="R8" s="891"/>
      <c r="S8" s="891"/>
      <c r="T8" s="891"/>
      <c r="U8" s="891"/>
      <c r="V8" s="891"/>
      <c r="W8" s="891"/>
      <c r="X8" s="891"/>
      <c r="Y8" s="891"/>
      <c r="Z8" s="891"/>
      <c r="AA8" s="891"/>
      <c r="AB8" s="891"/>
      <c r="AC8" s="892"/>
      <c r="AD8" s="904" t="s">
        <v>253</v>
      </c>
      <c r="AE8" s="891"/>
      <c r="AF8" s="892"/>
      <c r="AG8" s="904" t="s">
        <v>254</v>
      </c>
      <c r="AH8" s="891"/>
      <c r="AI8" s="891"/>
      <c r="AJ8" s="891"/>
      <c r="AK8" s="891"/>
      <c r="AL8" s="892"/>
      <c r="AM8" s="905" t="s">
        <v>255</v>
      </c>
      <c r="AN8" s="905"/>
      <c r="AO8" s="905"/>
      <c r="AP8" s="905"/>
      <c r="AQ8" s="905"/>
      <c r="AR8" s="905"/>
      <c r="AS8" s="904" t="s">
        <v>256</v>
      </c>
      <c r="AT8" s="891"/>
      <c r="AU8" s="891"/>
      <c r="AV8" s="891"/>
      <c r="AW8" s="891"/>
      <c r="AX8" s="892"/>
      <c r="AY8" s="904" t="s">
        <v>257</v>
      </c>
      <c r="AZ8" s="891"/>
      <c r="BA8" s="891"/>
      <c r="BB8" s="891"/>
      <c r="BC8" s="891"/>
      <c r="BD8" s="892"/>
      <c r="BE8" s="891" t="s">
        <v>258</v>
      </c>
      <c r="BF8" s="891"/>
      <c r="BG8" s="891"/>
      <c r="BH8" s="891"/>
      <c r="BI8" s="891"/>
      <c r="BJ8" s="891"/>
      <c r="BK8" s="891"/>
      <c r="BL8" s="891"/>
      <c r="BM8" s="892"/>
    </row>
    <row r="9" spans="2:65">
      <c r="B9" s="893" t="s">
        <v>259</v>
      </c>
      <c r="C9" s="894"/>
      <c r="D9" s="894"/>
      <c r="E9" s="895"/>
      <c r="F9" s="896" t="s">
        <v>334</v>
      </c>
      <c r="G9" s="897"/>
      <c r="H9" s="897"/>
      <c r="I9" s="897"/>
      <c r="J9" s="897"/>
      <c r="K9" s="897"/>
      <c r="L9" s="897"/>
      <c r="M9" s="897"/>
      <c r="N9" s="897"/>
      <c r="O9" s="898"/>
      <c r="P9" s="899" t="s">
        <v>260</v>
      </c>
      <c r="Q9" s="899"/>
      <c r="R9" s="899"/>
      <c r="S9" s="899"/>
      <c r="T9" s="899"/>
      <c r="U9" s="899"/>
      <c r="V9" s="899"/>
      <c r="W9" s="899"/>
      <c r="X9" s="899"/>
      <c r="Y9" s="899"/>
      <c r="Z9" s="899"/>
      <c r="AA9" s="899"/>
      <c r="AB9" s="899"/>
      <c r="AC9" s="899"/>
      <c r="AD9" s="899" t="s">
        <v>335</v>
      </c>
      <c r="AE9" s="899"/>
      <c r="AF9" s="899"/>
      <c r="AG9" s="899" t="s">
        <v>262</v>
      </c>
      <c r="AH9" s="899"/>
      <c r="AI9" s="899"/>
      <c r="AJ9" s="899"/>
      <c r="AK9" s="899"/>
      <c r="AL9" s="899"/>
      <c r="AM9" s="899" t="s">
        <v>263</v>
      </c>
      <c r="AN9" s="899"/>
      <c r="AO9" s="899"/>
      <c r="AP9" s="899"/>
      <c r="AQ9" s="899"/>
      <c r="AR9" s="899"/>
      <c r="AS9" s="899" t="s">
        <v>264</v>
      </c>
      <c r="AT9" s="899"/>
      <c r="AU9" s="899"/>
      <c r="AV9" s="899"/>
      <c r="AW9" s="899"/>
      <c r="AX9" s="899"/>
      <c r="AY9" s="899" t="s">
        <v>265</v>
      </c>
      <c r="AZ9" s="899"/>
      <c r="BA9" s="899"/>
      <c r="BB9" s="899"/>
      <c r="BC9" s="899"/>
      <c r="BD9" s="899"/>
      <c r="BE9" s="900" t="s">
        <v>266</v>
      </c>
      <c r="BF9" s="900"/>
      <c r="BG9" s="900"/>
      <c r="BH9" s="901" t="s">
        <v>267</v>
      </c>
      <c r="BI9" s="901"/>
      <c r="BJ9" s="901"/>
      <c r="BK9" s="902" t="s">
        <v>255</v>
      </c>
      <c r="BL9" s="902"/>
      <c r="BM9" s="902"/>
    </row>
    <row r="10" spans="2:65" ht="32.25" customHeight="1">
      <c r="B10" s="881" t="s">
        <v>336</v>
      </c>
      <c r="C10" s="881"/>
      <c r="D10" s="881"/>
      <c r="E10" s="881"/>
      <c r="F10" s="995" t="s">
        <v>768</v>
      </c>
      <c r="G10" s="934"/>
      <c r="H10" s="934"/>
      <c r="I10" s="934"/>
      <c r="J10" s="934"/>
      <c r="K10" s="934"/>
      <c r="L10" s="934"/>
      <c r="M10" s="934"/>
      <c r="N10" s="934"/>
      <c r="O10" s="934"/>
      <c r="P10" s="890" t="s">
        <v>769</v>
      </c>
      <c r="Q10" s="882"/>
      <c r="R10" s="882"/>
      <c r="S10" s="882"/>
      <c r="T10" s="882"/>
      <c r="U10" s="882"/>
      <c r="V10" s="882"/>
      <c r="W10" s="882"/>
      <c r="X10" s="882"/>
      <c r="Y10" s="882"/>
      <c r="Z10" s="882"/>
      <c r="AA10" s="882"/>
      <c r="AB10" s="882"/>
      <c r="AC10" s="882"/>
      <c r="AD10" s="884" t="s">
        <v>202</v>
      </c>
      <c r="AE10" s="884"/>
      <c r="AF10" s="884"/>
      <c r="AG10" s="885">
        <v>1</v>
      </c>
      <c r="AH10" s="885"/>
      <c r="AI10" s="885"/>
      <c r="AJ10" s="885"/>
      <c r="AK10" s="885"/>
      <c r="AL10" s="885"/>
      <c r="AM10" s="885">
        <v>1832000</v>
      </c>
      <c r="AN10" s="885"/>
      <c r="AO10" s="885"/>
      <c r="AP10" s="885"/>
      <c r="AQ10" s="885"/>
      <c r="AR10" s="885"/>
      <c r="AS10" s="886">
        <f>IF(AM10="","",AG10*AM10)</f>
        <v>1832000</v>
      </c>
      <c r="AT10" s="886"/>
      <c r="AU10" s="886"/>
      <c r="AV10" s="886"/>
      <c r="AW10" s="886"/>
      <c r="AX10" s="886"/>
      <c r="AY10" s="886">
        <f>IF(AM10="","",ROUNDDOWN(AG10*AM10*1.1,0))</f>
        <v>2015200</v>
      </c>
      <c r="AZ10" s="886"/>
      <c r="BA10" s="886"/>
      <c r="BB10" s="886"/>
      <c r="BC10" s="886"/>
      <c r="BD10" s="886"/>
      <c r="BE10" s="878" t="str">
        <f>IF(AS10="","",IF(AS10&gt;=300000,"必要",""))</f>
        <v>必要</v>
      </c>
      <c r="BF10" s="878"/>
      <c r="BG10" s="878"/>
      <c r="BH10" s="878" t="str">
        <f>IF(AS10="","",IF(AS10&gt;=1000000,"必要",""))</f>
        <v>必要</v>
      </c>
      <c r="BI10" s="878"/>
      <c r="BJ10" s="878"/>
      <c r="BK10" s="878" t="str">
        <f>IF(AM10="","",IF(AM10&lt;100000,"×","〇"))</f>
        <v>〇</v>
      </c>
      <c r="BL10" s="878"/>
      <c r="BM10" s="878"/>
    </row>
    <row r="11" spans="2:65" ht="32.25" customHeight="1">
      <c r="B11" s="881" t="s">
        <v>337</v>
      </c>
      <c r="C11" s="881"/>
      <c r="D11" s="881"/>
      <c r="E11" s="881"/>
      <c r="F11" s="934"/>
      <c r="G11" s="934"/>
      <c r="H11" s="934"/>
      <c r="I11" s="934"/>
      <c r="J11" s="934"/>
      <c r="K11" s="934"/>
      <c r="L11" s="934"/>
      <c r="M11" s="934"/>
      <c r="N11" s="934"/>
      <c r="O11" s="934"/>
      <c r="P11" s="934"/>
      <c r="Q11" s="934"/>
      <c r="R11" s="934"/>
      <c r="S11" s="934"/>
      <c r="T11" s="934"/>
      <c r="U11" s="934"/>
      <c r="V11" s="934"/>
      <c r="W11" s="934"/>
      <c r="X11" s="934"/>
      <c r="Y11" s="934"/>
      <c r="Z11" s="934"/>
      <c r="AA11" s="934"/>
      <c r="AB11" s="934"/>
      <c r="AC11" s="934"/>
      <c r="AD11" s="884" t="s">
        <v>202</v>
      </c>
      <c r="AE11" s="884"/>
      <c r="AF11" s="884"/>
      <c r="AG11" s="885"/>
      <c r="AH11" s="885"/>
      <c r="AI11" s="885"/>
      <c r="AJ11" s="885"/>
      <c r="AK11" s="885"/>
      <c r="AL11" s="885"/>
      <c r="AM11" s="885"/>
      <c r="AN11" s="885"/>
      <c r="AO11" s="885"/>
      <c r="AP11" s="885"/>
      <c r="AQ11" s="885"/>
      <c r="AR11" s="885"/>
      <c r="AS11" s="886" t="str">
        <f t="shared" ref="AS11:AS19" si="0">IF(AM11="","",AG11*AM11)</f>
        <v/>
      </c>
      <c r="AT11" s="886"/>
      <c r="AU11" s="886"/>
      <c r="AV11" s="886"/>
      <c r="AW11" s="886"/>
      <c r="AX11" s="886"/>
      <c r="AY11" s="886" t="str">
        <f t="shared" ref="AY11:AY19" si="1">IF(AM11="","",ROUNDDOWN(AG11*AM11*1.1,0))</f>
        <v/>
      </c>
      <c r="AZ11" s="886"/>
      <c r="BA11" s="886"/>
      <c r="BB11" s="886"/>
      <c r="BC11" s="886"/>
      <c r="BD11" s="886"/>
      <c r="BE11" s="878" t="str">
        <f t="shared" ref="BE11:BE19" si="2">IF(AS11="","",IF(AS11&gt;=300000,"必要",""))</f>
        <v/>
      </c>
      <c r="BF11" s="878"/>
      <c r="BG11" s="878"/>
      <c r="BH11" s="878" t="str">
        <f t="shared" ref="BH11:BH19" si="3">IF(AS11="","",IF(AS11&gt;=1000000,"必要",""))</f>
        <v/>
      </c>
      <c r="BI11" s="878"/>
      <c r="BJ11" s="878"/>
      <c r="BK11" s="878" t="str">
        <f t="shared" ref="BK11:BK19" si="4">IF(AM11="","",IF(AM11&lt;100000,"×","〇"))</f>
        <v/>
      </c>
      <c r="BL11" s="878"/>
      <c r="BM11" s="878"/>
    </row>
    <row r="12" spans="2:65" ht="32.25" customHeight="1">
      <c r="B12" s="881" t="s">
        <v>338</v>
      </c>
      <c r="C12" s="881"/>
      <c r="D12" s="881"/>
      <c r="E12" s="881"/>
      <c r="F12" s="934"/>
      <c r="G12" s="934"/>
      <c r="H12" s="934"/>
      <c r="I12" s="934"/>
      <c r="J12" s="934"/>
      <c r="K12" s="934"/>
      <c r="L12" s="934"/>
      <c r="M12" s="934"/>
      <c r="N12" s="934"/>
      <c r="O12" s="934"/>
      <c r="P12" s="934"/>
      <c r="Q12" s="934"/>
      <c r="R12" s="934"/>
      <c r="S12" s="934"/>
      <c r="T12" s="934"/>
      <c r="U12" s="934"/>
      <c r="V12" s="934"/>
      <c r="W12" s="934"/>
      <c r="X12" s="934"/>
      <c r="Y12" s="934"/>
      <c r="Z12" s="934"/>
      <c r="AA12" s="934"/>
      <c r="AB12" s="934"/>
      <c r="AC12" s="934"/>
      <c r="AD12" s="884" t="s">
        <v>202</v>
      </c>
      <c r="AE12" s="884"/>
      <c r="AF12" s="884"/>
      <c r="AG12" s="885"/>
      <c r="AH12" s="885"/>
      <c r="AI12" s="885"/>
      <c r="AJ12" s="885"/>
      <c r="AK12" s="885"/>
      <c r="AL12" s="885"/>
      <c r="AM12" s="885"/>
      <c r="AN12" s="885"/>
      <c r="AO12" s="885"/>
      <c r="AP12" s="885"/>
      <c r="AQ12" s="885"/>
      <c r="AR12" s="885"/>
      <c r="AS12" s="886" t="str">
        <f t="shared" si="0"/>
        <v/>
      </c>
      <c r="AT12" s="886"/>
      <c r="AU12" s="886"/>
      <c r="AV12" s="886"/>
      <c r="AW12" s="886"/>
      <c r="AX12" s="886"/>
      <c r="AY12" s="886" t="str">
        <f t="shared" si="1"/>
        <v/>
      </c>
      <c r="AZ12" s="886"/>
      <c r="BA12" s="886"/>
      <c r="BB12" s="886"/>
      <c r="BC12" s="886"/>
      <c r="BD12" s="886"/>
      <c r="BE12" s="878" t="str">
        <f t="shared" si="2"/>
        <v/>
      </c>
      <c r="BF12" s="878"/>
      <c r="BG12" s="878"/>
      <c r="BH12" s="878" t="str">
        <f t="shared" si="3"/>
        <v/>
      </c>
      <c r="BI12" s="878"/>
      <c r="BJ12" s="878"/>
      <c r="BK12" s="878" t="str">
        <f t="shared" si="4"/>
        <v/>
      </c>
      <c r="BL12" s="878"/>
      <c r="BM12" s="878"/>
    </row>
    <row r="13" spans="2:65" ht="32.25" customHeight="1">
      <c r="B13" s="881" t="s">
        <v>339</v>
      </c>
      <c r="C13" s="881"/>
      <c r="D13" s="881"/>
      <c r="E13" s="881"/>
      <c r="F13" s="934"/>
      <c r="G13" s="934"/>
      <c r="H13" s="934"/>
      <c r="I13" s="934"/>
      <c r="J13" s="934"/>
      <c r="K13" s="934"/>
      <c r="L13" s="934"/>
      <c r="M13" s="934"/>
      <c r="N13" s="934"/>
      <c r="O13" s="934"/>
      <c r="P13" s="934"/>
      <c r="Q13" s="934"/>
      <c r="R13" s="934"/>
      <c r="S13" s="934"/>
      <c r="T13" s="934"/>
      <c r="U13" s="934"/>
      <c r="V13" s="934"/>
      <c r="W13" s="934"/>
      <c r="X13" s="934"/>
      <c r="Y13" s="934"/>
      <c r="Z13" s="934"/>
      <c r="AA13" s="934"/>
      <c r="AB13" s="934"/>
      <c r="AC13" s="934"/>
      <c r="AD13" s="884" t="s">
        <v>202</v>
      </c>
      <c r="AE13" s="884"/>
      <c r="AF13" s="884"/>
      <c r="AG13" s="885"/>
      <c r="AH13" s="885"/>
      <c r="AI13" s="885"/>
      <c r="AJ13" s="885"/>
      <c r="AK13" s="885"/>
      <c r="AL13" s="885"/>
      <c r="AM13" s="885"/>
      <c r="AN13" s="885"/>
      <c r="AO13" s="885"/>
      <c r="AP13" s="885"/>
      <c r="AQ13" s="885"/>
      <c r="AR13" s="885"/>
      <c r="AS13" s="886" t="str">
        <f t="shared" si="0"/>
        <v/>
      </c>
      <c r="AT13" s="886"/>
      <c r="AU13" s="886"/>
      <c r="AV13" s="886"/>
      <c r="AW13" s="886"/>
      <c r="AX13" s="886"/>
      <c r="AY13" s="886" t="str">
        <f t="shared" si="1"/>
        <v/>
      </c>
      <c r="AZ13" s="886"/>
      <c r="BA13" s="886"/>
      <c r="BB13" s="886"/>
      <c r="BC13" s="886"/>
      <c r="BD13" s="886"/>
      <c r="BE13" s="878" t="str">
        <f t="shared" si="2"/>
        <v/>
      </c>
      <c r="BF13" s="878"/>
      <c r="BG13" s="878"/>
      <c r="BH13" s="878" t="str">
        <f t="shared" si="3"/>
        <v/>
      </c>
      <c r="BI13" s="878"/>
      <c r="BJ13" s="878"/>
      <c r="BK13" s="878" t="str">
        <f t="shared" si="4"/>
        <v/>
      </c>
      <c r="BL13" s="878"/>
      <c r="BM13" s="878"/>
    </row>
    <row r="14" spans="2:65" ht="32.25" customHeight="1">
      <c r="B14" s="881" t="s">
        <v>340</v>
      </c>
      <c r="C14" s="881"/>
      <c r="D14" s="881"/>
      <c r="E14" s="881"/>
      <c r="F14" s="934"/>
      <c r="G14" s="934"/>
      <c r="H14" s="934"/>
      <c r="I14" s="934"/>
      <c r="J14" s="934"/>
      <c r="K14" s="934"/>
      <c r="L14" s="934"/>
      <c r="M14" s="934"/>
      <c r="N14" s="934"/>
      <c r="O14" s="934"/>
      <c r="P14" s="934"/>
      <c r="Q14" s="934"/>
      <c r="R14" s="934"/>
      <c r="S14" s="934"/>
      <c r="T14" s="934"/>
      <c r="U14" s="934"/>
      <c r="V14" s="934"/>
      <c r="W14" s="934"/>
      <c r="X14" s="934"/>
      <c r="Y14" s="934"/>
      <c r="Z14" s="934"/>
      <c r="AA14" s="934"/>
      <c r="AB14" s="934"/>
      <c r="AC14" s="934"/>
      <c r="AD14" s="884" t="s">
        <v>202</v>
      </c>
      <c r="AE14" s="884"/>
      <c r="AF14" s="884"/>
      <c r="AG14" s="885"/>
      <c r="AH14" s="885"/>
      <c r="AI14" s="885"/>
      <c r="AJ14" s="885"/>
      <c r="AK14" s="885"/>
      <c r="AL14" s="885"/>
      <c r="AM14" s="885"/>
      <c r="AN14" s="885"/>
      <c r="AO14" s="885"/>
      <c r="AP14" s="885"/>
      <c r="AQ14" s="885"/>
      <c r="AR14" s="885"/>
      <c r="AS14" s="886" t="str">
        <f t="shared" si="0"/>
        <v/>
      </c>
      <c r="AT14" s="886"/>
      <c r="AU14" s="886"/>
      <c r="AV14" s="886"/>
      <c r="AW14" s="886"/>
      <c r="AX14" s="886"/>
      <c r="AY14" s="886" t="str">
        <f t="shared" si="1"/>
        <v/>
      </c>
      <c r="AZ14" s="886"/>
      <c r="BA14" s="886"/>
      <c r="BB14" s="886"/>
      <c r="BC14" s="886"/>
      <c r="BD14" s="886"/>
      <c r="BE14" s="878" t="str">
        <f t="shared" si="2"/>
        <v/>
      </c>
      <c r="BF14" s="878"/>
      <c r="BG14" s="878"/>
      <c r="BH14" s="878" t="str">
        <f t="shared" si="3"/>
        <v/>
      </c>
      <c r="BI14" s="878"/>
      <c r="BJ14" s="878"/>
      <c r="BK14" s="878" t="str">
        <f t="shared" si="4"/>
        <v/>
      </c>
      <c r="BL14" s="878"/>
      <c r="BM14" s="878"/>
    </row>
    <row r="15" spans="2:65" ht="32.25" customHeight="1">
      <c r="B15" s="881" t="s">
        <v>341</v>
      </c>
      <c r="C15" s="881"/>
      <c r="D15" s="881"/>
      <c r="E15" s="881"/>
      <c r="F15" s="934"/>
      <c r="G15" s="934"/>
      <c r="H15" s="934"/>
      <c r="I15" s="934"/>
      <c r="J15" s="934"/>
      <c r="K15" s="934"/>
      <c r="L15" s="934"/>
      <c r="M15" s="934"/>
      <c r="N15" s="934"/>
      <c r="O15" s="934"/>
      <c r="P15" s="934"/>
      <c r="Q15" s="934"/>
      <c r="R15" s="934"/>
      <c r="S15" s="934"/>
      <c r="T15" s="934"/>
      <c r="U15" s="934"/>
      <c r="V15" s="934"/>
      <c r="W15" s="934"/>
      <c r="X15" s="934"/>
      <c r="Y15" s="934"/>
      <c r="Z15" s="934"/>
      <c r="AA15" s="934"/>
      <c r="AB15" s="934"/>
      <c r="AC15" s="934"/>
      <c r="AD15" s="884" t="s">
        <v>202</v>
      </c>
      <c r="AE15" s="884"/>
      <c r="AF15" s="884"/>
      <c r="AG15" s="885"/>
      <c r="AH15" s="885"/>
      <c r="AI15" s="885"/>
      <c r="AJ15" s="885"/>
      <c r="AK15" s="885"/>
      <c r="AL15" s="885"/>
      <c r="AM15" s="885"/>
      <c r="AN15" s="885"/>
      <c r="AO15" s="885"/>
      <c r="AP15" s="885"/>
      <c r="AQ15" s="885"/>
      <c r="AR15" s="885"/>
      <c r="AS15" s="886" t="str">
        <f t="shared" si="0"/>
        <v/>
      </c>
      <c r="AT15" s="886"/>
      <c r="AU15" s="886"/>
      <c r="AV15" s="886"/>
      <c r="AW15" s="886"/>
      <c r="AX15" s="886"/>
      <c r="AY15" s="886" t="str">
        <f t="shared" si="1"/>
        <v/>
      </c>
      <c r="AZ15" s="886"/>
      <c r="BA15" s="886"/>
      <c r="BB15" s="886"/>
      <c r="BC15" s="886"/>
      <c r="BD15" s="886"/>
      <c r="BE15" s="878" t="str">
        <f t="shared" si="2"/>
        <v/>
      </c>
      <c r="BF15" s="878"/>
      <c r="BG15" s="878"/>
      <c r="BH15" s="878" t="str">
        <f t="shared" si="3"/>
        <v/>
      </c>
      <c r="BI15" s="878"/>
      <c r="BJ15" s="878"/>
      <c r="BK15" s="878" t="str">
        <f t="shared" si="4"/>
        <v/>
      </c>
      <c r="BL15" s="878"/>
      <c r="BM15" s="878"/>
    </row>
    <row r="16" spans="2:65" ht="32.25" customHeight="1">
      <c r="B16" s="881" t="s">
        <v>342</v>
      </c>
      <c r="C16" s="881"/>
      <c r="D16" s="881"/>
      <c r="E16" s="881"/>
      <c r="F16" s="934"/>
      <c r="G16" s="934"/>
      <c r="H16" s="934"/>
      <c r="I16" s="934"/>
      <c r="J16" s="934"/>
      <c r="K16" s="934"/>
      <c r="L16" s="934"/>
      <c r="M16" s="934"/>
      <c r="N16" s="934"/>
      <c r="O16" s="934"/>
      <c r="P16" s="934"/>
      <c r="Q16" s="934"/>
      <c r="R16" s="934"/>
      <c r="S16" s="934"/>
      <c r="T16" s="934"/>
      <c r="U16" s="934"/>
      <c r="V16" s="934"/>
      <c r="W16" s="934"/>
      <c r="X16" s="934"/>
      <c r="Y16" s="934"/>
      <c r="Z16" s="934"/>
      <c r="AA16" s="934"/>
      <c r="AB16" s="934"/>
      <c r="AC16" s="934"/>
      <c r="AD16" s="884" t="s">
        <v>202</v>
      </c>
      <c r="AE16" s="884"/>
      <c r="AF16" s="884"/>
      <c r="AG16" s="885"/>
      <c r="AH16" s="885"/>
      <c r="AI16" s="885"/>
      <c r="AJ16" s="885"/>
      <c r="AK16" s="885"/>
      <c r="AL16" s="885"/>
      <c r="AM16" s="885"/>
      <c r="AN16" s="885"/>
      <c r="AO16" s="885"/>
      <c r="AP16" s="885"/>
      <c r="AQ16" s="885"/>
      <c r="AR16" s="885"/>
      <c r="AS16" s="886" t="str">
        <f t="shared" si="0"/>
        <v/>
      </c>
      <c r="AT16" s="886"/>
      <c r="AU16" s="886"/>
      <c r="AV16" s="886"/>
      <c r="AW16" s="886"/>
      <c r="AX16" s="886"/>
      <c r="AY16" s="886" t="str">
        <f t="shared" si="1"/>
        <v/>
      </c>
      <c r="AZ16" s="886"/>
      <c r="BA16" s="886"/>
      <c r="BB16" s="886"/>
      <c r="BC16" s="886"/>
      <c r="BD16" s="886"/>
      <c r="BE16" s="878" t="str">
        <f t="shared" si="2"/>
        <v/>
      </c>
      <c r="BF16" s="878"/>
      <c r="BG16" s="878"/>
      <c r="BH16" s="878" t="str">
        <f t="shared" si="3"/>
        <v/>
      </c>
      <c r="BI16" s="878"/>
      <c r="BJ16" s="878"/>
      <c r="BK16" s="878" t="str">
        <f t="shared" si="4"/>
        <v/>
      </c>
      <c r="BL16" s="878"/>
      <c r="BM16" s="878"/>
    </row>
    <row r="17" spans="2:65" ht="32.25" customHeight="1">
      <c r="B17" s="881" t="s">
        <v>343</v>
      </c>
      <c r="C17" s="881"/>
      <c r="D17" s="881"/>
      <c r="E17" s="881"/>
      <c r="F17" s="934"/>
      <c r="G17" s="934"/>
      <c r="H17" s="934"/>
      <c r="I17" s="934"/>
      <c r="J17" s="934"/>
      <c r="K17" s="934"/>
      <c r="L17" s="934"/>
      <c r="M17" s="934"/>
      <c r="N17" s="934"/>
      <c r="O17" s="934"/>
      <c r="P17" s="934"/>
      <c r="Q17" s="934"/>
      <c r="R17" s="934"/>
      <c r="S17" s="934"/>
      <c r="T17" s="934"/>
      <c r="U17" s="934"/>
      <c r="V17" s="934"/>
      <c r="W17" s="934"/>
      <c r="X17" s="934"/>
      <c r="Y17" s="934"/>
      <c r="Z17" s="934"/>
      <c r="AA17" s="934"/>
      <c r="AB17" s="934"/>
      <c r="AC17" s="934"/>
      <c r="AD17" s="884" t="s">
        <v>202</v>
      </c>
      <c r="AE17" s="884"/>
      <c r="AF17" s="884"/>
      <c r="AG17" s="885"/>
      <c r="AH17" s="885"/>
      <c r="AI17" s="885"/>
      <c r="AJ17" s="885"/>
      <c r="AK17" s="885"/>
      <c r="AL17" s="885"/>
      <c r="AM17" s="885"/>
      <c r="AN17" s="885"/>
      <c r="AO17" s="885"/>
      <c r="AP17" s="885"/>
      <c r="AQ17" s="885"/>
      <c r="AR17" s="885"/>
      <c r="AS17" s="886" t="str">
        <f t="shared" si="0"/>
        <v/>
      </c>
      <c r="AT17" s="886"/>
      <c r="AU17" s="886"/>
      <c r="AV17" s="886"/>
      <c r="AW17" s="886"/>
      <c r="AX17" s="886"/>
      <c r="AY17" s="886" t="str">
        <f t="shared" si="1"/>
        <v/>
      </c>
      <c r="AZ17" s="886"/>
      <c r="BA17" s="886"/>
      <c r="BB17" s="886"/>
      <c r="BC17" s="886"/>
      <c r="BD17" s="886"/>
      <c r="BE17" s="878" t="str">
        <f t="shared" si="2"/>
        <v/>
      </c>
      <c r="BF17" s="878"/>
      <c r="BG17" s="878"/>
      <c r="BH17" s="878" t="str">
        <f t="shared" si="3"/>
        <v/>
      </c>
      <c r="BI17" s="878"/>
      <c r="BJ17" s="878"/>
      <c r="BK17" s="878" t="str">
        <f t="shared" si="4"/>
        <v/>
      </c>
      <c r="BL17" s="878"/>
      <c r="BM17" s="878"/>
    </row>
    <row r="18" spans="2:65" ht="32.25" customHeight="1">
      <c r="B18" s="881" t="s">
        <v>344</v>
      </c>
      <c r="C18" s="881"/>
      <c r="D18" s="881"/>
      <c r="E18" s="881"/>
      <c r="F18" s="934"/>
      <c r="G18" s="934"/>
      <c r="H18" s="934"/>
      <c r="I18" s="934"/>
      <c r="J18" s="934"/>
      <c r="K18" s="934"/>
      <c r="L18" s="934"/>
      <c r="M18" s="934"/>
      <c r="N18" s="934"/>
      <c r="O18" s="934"/>
      <c r="P18" s="934"/>
      <c r="Q18" s="934"/>
      <c r="R18" s="934"/>
      <c r="S18" s="934"/>
      <c r="T18" s="934"/>
      <c r="U18" s="934"/>
      <c r="V18" s="934"/>
      <c r="W18" s="934"/>
      <c r="X18" s="934"/>
      <c r="Y18" s="934"/>
      <c r="Z18" s="934"/>
      <c r="AA18" s="934"/>
      <c r="AB18" s="934"/>
      <c r="AC18" s="934"/>
      <c r="AD18" s="884" t="s">
        <v>202</v>
      </c>
      <c r="AE18" s="884"/>
      <c r="AF18" s="884"/>
      <c r="AG18" s="885"/>
      <c r="AH18" s="885"/>
      <c r="AI18" s="885"/>
      <c r="AJ18" s="885"/>
      <c r="AK18" s="885"/>
      <c r="AL18" s="885"/>
      <c r="AM18" s="885"/>
      <c r="AN18" s="885"/>
      <c r="AO18" s="885"/>
      <c r="AP18" s="885"/>
      <c r="AQ18" s="885"/>
      <c r="AR18" s="885"/>
      <c r="AS18" s="886" t="str">
        <f t="shared" si="0"/>
        <v/>
      </c>
      <c r="AT18" s="886"/>
      <c r="AU18" s="886"/>
      <c r="AV18" s="886"/>
      <c r="AW18" s="886"/>
      <c r="AX18" s="886"/>
      <c r="AY18" s="886" t="str">
        <f t="shared" si="1"/>
        <v/>
      </c>
      <c r="AZ18" s="886"/>
      <c r="BA18" s="886"/>
      <c r="BB18" s="886"/>
      <c r="BC18" s="886"/>
      <c r="BD18" s="886"/>
      <c r="BE18" s="878" t="str">
        <f t="shared" si="2"/>
        <v/>
      </c>
      <c r="BF18" s="878"/>
      <c r="BG18" s="878"/>
      <c r="BH18" s="878" t="str">
        <f t="shared" si="3"/>
        <v/>
      </c>
      <c r="BI18" s="878"/>
      <c r="BJ18" s="878"/>
      <c r="BK18" s="878" t="str">
        <f t="shared" si="4"/>
        <v/>
      </c>
      <c r="BL18" s="878"/>
      <c r="BM18" s="878"/>
    </row>
    <row r="19" spans="2:65" ht="32" customHeight="1">
      <c r="B19" s="881" t="s">
        <v>345</v>
      </c>
      <c r="C19" s="881"/>
      <c r="D19" s="881"/>
      <c r="E19" s="881"/>
      <c r="F19" s="934"/>
      <c r="G19" s="934"/>
      <c r="H19" s="934"/>
      <c r="I19" s="934"/>
      <c r="J19" s="934"/>
      <c r="K19" s="934"/>
      <c r="L19" s="934"/>
      <c r="M19" s="934"/>
      <c r="N19" s="934"/>
      <c r="O19" s="934"/>
      <c r="P19" s="934"/>
      <c r="Q19" s="934"/>
      <c r="R19" s="934"/>
      <c r="S19" s="934"/>
      <c r="T19" s="934"/>
      <c r="U19" s="934"/>
      <c r="V19" s="934"/>
      <c r="W19" s="934"/>
      <c r="X19" s="934"/>
      <c r="Y19" s="934"/>
      <c r="Z19" s="934"/>
      <c r="AA19" s="934"/>
      <c r="AB19" s="934"/>
      <c r="AC19" s="934"/>
      <c r="AD19" s="884" t="s">
        <v>202</v>
      </c>
      <c r="AE19" s="884"/>
      <c r="AF19" s="884"/>
      <c r="AG19" s="885"/>
      <c r="AH19" s="885"/>
      <c r="AI19" s="885"/>
      <c r="AJ19" s="885"/>
      <c r="AK19" s="885"/>
      <c r="AL19" s="885"/>
      <c r="AM19" s="885"/>
      <c r="AN19" s="885"/>
      <c r="AO19" s="885"/>
      <c r="AP19" s="885"/>
      <c r="AQ19" s="885"/>
      <c r="AR19" s="885"/>
      <c r="AS19" s="886" t="str">
        <f t="shared" si="0"/>
        <v/>
      </c>
      <c r="AT19" s="886"/>
      <c r="AU19" s="886"/>
      <c r="AV19" s="886"/>
      <c r="AW19" s="886"/>
      <c r="AX19" s="886"/>
      <c r="AY19" s="886" t="str">
        <f t="shared" si="1"/>
        <v/>
      </c>
      <c r="AZ19" s="886"/>
      <c r="BA19" s="886"/>
      <c r="BB19" s="886"/>
      <c r="BC19" s="886"/>
      <c r="BD19" s="886"/>
      <c r="BE19" s="878" t="str">
        <f t="shared" si="2"/>
        <v/>
      </c>
      <c r="BF19" s="878"/>
      <c r="BG19" s="878"/>
      <c r="BH19" s="878" t="str">
        <f t="shared" si="3"/>
        <v/>
      </c>
      <c r="BI19" s="878"/>
      <c r="BJ19" s="878"/>
      <c r="BK19" s="878" t="str">
        <f t="shared" si="4"/>
        <v/>
      </c>
      <c r="BL19" s="878"/>
      <c r="BM19" s="878"/>
    </row>
    <row r="20" spans="2:65" ht="32.25" customHeight="1">
      <c r="AM20" s="887" t="s">
        <v>34</v>
      </c>
      <c r="AN20" s="887"/>
      <c r="AO20" s="887"/>
      <c r="AP20" s="887"/>
      <c r="AQ20" s="887"/>
      <c r="AR20" s="888"/>
      <c r="AS20" s="889">
        <f>SUM(AS10:AX19)</f>
        <v>1832000</v>
      </c>
      <c r="AT20" s="889"/>
      <c r="AU20" s="889"/>
      <c r="AV20" s="889"/>
      <c r="AW20" s="889"/>
      <c r="AX20" s="889"/>
      <c r="AY20" s="889">
        <f>SUM(AY10:BD19)</f>
        <v>2015200</v>
      </c>
      <c r="AZ20" s="889"/>
      <c r="BA20" s="889"/>
      <c r="BB20" s="889"/>
      <c r="BC20" s="889"/>
      <c r="BD20" s="889"/>
    </row>
  </sheetData>
  <mergeCells count="136">
    <mergeCell ref="AM7:AR7"/>
    <mergeCell ref="AS7:AX7"/>
    <mergeCell ref="AY7:BD7"/>
    <mergeCell ref="B8:E8"/>
    <mergeCell ref="F8:O8"/>
    <mergeCell ref="P8:AC8"/>
    <mergeCell ref="AD8:AF8"/>
    <mergeCell ref="AG8:AL8"/>
    <mergeCell ref="AM8:AR8"/>
    <mergeCell ref="AS8:AX8"/>
    <mergeCell ref="AY8:BD8"/>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F11:O11"/>
    <mergeCell ref="P11:AC11"/>
    <mergeCell ref="AD11:AF11"/>
    <mergeCell ref="AG11:AL11"/>
    <mergeCell ref="AM11:AR11"/>
    <mergeCell ref="B10:E10"/>
    <mergeCell ref="F10:O10"/>
    <mergeCell ref="P10:AC10"/>
    <mergeCell ref="AD10:AF10"/>
    <mergeCell ref="AG10:AL10"/>
    <mergeCell ref="AM10:AR10"/>
    <mergeCell ref="AS10:AX10"/>
    <mergeCell ref="AY12:BD12"/>
    <mergeCell ref="BE12:BG12"/>
    <mergeCell ref="BH12:BJ12"/>
    <mergeCell ref="BK12:BM12"/>
    <mergeCell ref="AS11:AX11"/>
    <mergeCell ref="AY11:BD11"/>
    <mergeCell ref="BE11:BG11"/>
    <mergeCell ref="BH11:BJ11"/>
    <mergeCell ref="BK11:BM11"/>
    <mergeCell ref="B14:E14"/>
    <mergeCell ref="F14:O14"/>
    <mergeCell ref="P14:AC14"/>
    <mergeCell ref="AD14:AF14"/>
    <mergeCell ref="AG14:AL14"/>
    <mergeCell ref="B13:E13"/>
    <mergeCell ref="F13:O13"/>
    <mergeCell ref="P13:AC13"/>
    <mergeCell ref="AD13:AF13"/>
    <mergeCell ref="AG13:AL13"/>
    <mergeCell ref="AM14:AR14"/>
    <mergeCell ref="AS14:AX14"/>
    <mergeCell ref="AY14:BD14"/>
    <mergeCell ref="BE14:BG14"/>
    <mergeCell ref="BH14:BJ14"/>
    <mergeCell ref="BK14:BM14"/>
    <mergeCell ref="AS13:AX13"/>
    <mergeCell ref="AY13:BD13"/>
    <mergeCell ref="BE13:BG13"/>
    <mergeCell ref="BH13:BJ13"/>
    <mergeCell ref="BK13:BM13"/>
    <mergeCell ref="AM13:AR13"/>
    <mergeCell ref="B16:E16"/>
    <mergeCell ref="F16:O16"/>
    <mergeCell ref="P16:AC16"/>
    <mergeCell ref="AD16:AF16"/>
    <mergeCell ref="AG16:AL16"/>
    <mergeCell ref="B15:E15"/>
    <mergeCell ref="F15:O15"/>
    <mergeCell ref="P15:AC15"/>
    <mergeCell ref="AD15:AF15"/>
    <mergeCell ref="AG15:AL15"/>
    <mergeCell ref="AM16:AR16"/>
    <mergeCell ref="AS16:AX16"/>
    <mergeCell ref="AY16:BD16"/>
    <mergeCell ref="BE16:BG16"/>
    <mergeCell ref="BH16:BJ16"/>
    <mergeCell ref="BK16:BM16"/>
    <mergeCell ref="AS15:AX15"/>
    <mergeCell ref="AY15:BD15"/>
    <mergeCell ref="BE15:BG15"/>
    <mergeCell ref="BH15:BJ15"/>
    <mergeCell ref="BK15:BM15"/>
    <mergeCell ref="AM15:AR15"/>
    <mergeCell ref="BH18:BJ18"/>
    <mergeCell ref="BK18:BM18"/>
    <mergeCell ref="AS17:AX17"/>
    <mergeCell ref="AY17:BD17"/>
    <mergeCell ref="BE17:BG17"/>
    <mergeCell ref="BH17:BJ17"/>
    <mergeCell ref="BK17:BM17"/>
    <mergeCell ref="AM17:AR17"/>
    <mergeCell ref="B18:E18"/>
    <mergeCell ref="F18:O18"/>
    <mergeCell ref="P18:AC18"/>
    <mergeCell ref="AD18:AF18"/>
    <mergeCell ref="AG18:AL18"/>
    <mergeCell ref="B17:E17"/>
    <mergeCell ref="F17:O17"/>
    <mergeCell ref="P17:AC17"/>
    <mergeCell ref="AD17:AF17"/>
    <mergeCell ref="AG17:AL17"/>
    <mergeCell ref="B19:E19"/>
    <mergeCell ref="F19:O19"/>
    <mergeCell ref="P19:AC19"/>
    <mergeCell ref="AD19:AF19"/>
    <mergeCell ref="AG19:AL19"/>
    <mergeCell ref="AM18:AR18"/>
    <mergeCell ref="AS18:AX18"/>
    <mergeCell ref="AY18:BD18"/>
    <mergeCell ref="BE18:BG18"/>
    <mergeCell ref="AM20:AR20"/>
    <mergeCell ref="AS20:AX20"/>
    <mergeCell ref="AY20:BD20"/>
    <mergeCell ref="AS19:AX19"/>
    <mergeCell ref="AY19:BD19"/>
    <mergeCell ref="BE19:BG19"/>
    <mergeCell ref="BH19:BJ19"/>
    <mergeCell ref="BK19:BM19"/>
    <mergeCell ref="AM19:AR19"/>
  </mergeCells>
  <phoneticPr fontId="41"/>
  <dataValidations count="1">
    <dataValidation type="list" allowBlank="1" showInputMessage="1" showErrorMessage="1" sqref="AD10:AF19" xr:uid="{00000000-0002-0000-0E00-000000000000}">
      <formula1>"(選択),設備,備品等,工事"</formula1>
    </dataValidation>
  </dataValidations>
  <pageMargins left="0.7" right="0.7" top="0.75" bottom="0.75" header="0.3" footer="0.3"/>
  <pageSetup paperSize="9" scale="57"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79998168889431442"/>
  </sheetPr>
  <dimension ref="B1:BM30"/>
  <sheetViews>
    <sheetView view="pageBreakPreview" zoomScale="204" zoomScaleNormal="100" zoomScaleSheetLayoutView="204" workbookViewId="0">
      <selection activeCell="AD11" sqref="AD11:AF11"/>
    </sheetView>
  </sheetViews>
  <sheetFormatPr baseColWidth="10" defaultColWidth="2" defaultRowHeight="18"/>
  <cols>
    <col min="1" max="1" width="0.83203125" style="94" customWidth="1"/>
    <col min="2" max="65" width="2" style="94"/>
    <col min="66" max="66" width="0.83203125" style="94" customWidth="1"/>
    <col min="67" max="83" width="2" style="94"/>
    <col min="84" max="84" width="2" style="94" customWidth="1"/>
    <col min="85" max="16384" width="2" style="94"/>
  </cols>
  <sheetData>
    <row r="1" spans="2:65">
      <c r="B1" s="108" t="s">
        <v>467</v>
      </c>
    </row>
    <row r="2" spans="2:65">
      <c r="B2" s="95"/>
      <c r="C2" s="94" t="s">
        <v>246</v>
      </c>
    </row>
    <row r="3" spans="2:65">
      <c r="B3" s="94" t="s">
        <v>310</v>
      </c>
      <c r="C3" s="96" t="s">
        <v>530</v>
      </c>
    </row>
    <row r="4" spans="2:65">
      <c r="B4" s="101" t="s">
        <v>311</v>
      </c>
      <c r="C4" s="96" t="s">
        <v>423</v>
      </c>
    </row>
    <row r="5" spans="2:65">
      <c r="B5" s="101" t="s">
        <v>332</v>
      </c>
    </row>
    <row r="6" spans="2:65">
      <c r="C6" s="103" t="s">
        <v>346</v>
      </c>
      <c r="D6" s="101"/>
      <c r="E6" s="101"/>
    </row>
    <row r="8" spans="2:65">
      <c r="B8" s="124"/>
      <c r="C8" s="97"/>
      <c r="D8" s="97"/>
      <c r="E8" s="97"/>
      <c r="F8" s="97"/>
      <c r="G8" s="97"/>
      <c r="H8" s="97"/>
      <c r="I8" s="97"/>
      <c r="J8" s="97"/>
      <c r="K8" s="97"/>
      <c r="L8" s="97"/>
      <c r="M8" s="97"/>
      <c r="N8" s="97"/>
      <c r="O8" s="97"/>
      <c r="P8" s="97"/>
      <c r="Q8" s="97"/>
      <c r="R8" s="97"/>
      <c r="S8" s="97"/>
      <c r="T8" s="97"/>
      <c r="U8" s="97"/>
      <c r="V8" s="97"/>
      <c r="W8" s="97"/>
      <c r="X8" s="97"/>
      <c r="Y8" s="97"/>
      <c r="Z8" s="97"/>
      <c r="AA8" s="97"/>
      <c r="AB8" s="97"/>
      <c r="AC8" s="97"/>
      <c r="AD8" s="97"/>
      <c r="AE8" s="97"/>
      <c r="AF8" s="97"/>
      <c r="AG8" s="97"/>
      <c r="AH8" s="97"/>
      <c r="AI8" s="97"/>
      <c r="AJ8" s="97"/>
      <c r="AK8" s="97"/>
      <c r="AL8" s="97"/>
      <c r="AM8" s="903" t="s">
        <v>247</v>
      </c>
      <c r="AN8" s="903"/>
      <c r="AO8" s="903"/>
      <c r="AP8" s="903"/>
      <c r="AQ8" s="903"/>
      <c r="AR8" s="903"/>
      <c r="AS8" s="903" t="s">
        <v>247</v>
      </c>
      <c r="AT8" s="903"/>
      <c r="AU8" s="903"/>
      <c r="AV8" s="903"/>
      <c r="AW8" s="903"/>
      <c r="AX8" s="903"/>
      <c r="AY8" s="903" t="s">
        <v>248</v>
      </c>
      <c r="AZ8" s="903"/>
      <c r="BA8" s="903"/>
      <c r="BB8" s="903"/>
      <c r="BC8" s="903"/>
      <c r="BD8" s="903"/>
      <c r="BE8" s="97"/>
      <c r="BF8" s="97"/>
      <c r="BG8" s="97"/>
      <c r="BH8" s="98"/>
      <c r="BI8" s="98"/>
      <c r="BJ8" s="97"/>
      <c r="BK8" s="97"/>
      <c r="BL8" s="97"/>
      <c r="BM8" s="99" t="s">
        <v>249</v>
      </c>
    </row>
    <row r="9" spans="2:65">
      <c r="B9" s="904" t="s">
        <v>250</v>
      </c>
      <c r="C9" s="891"/>
      <c r="D9" s="891"/>
      <c r="E9" s="892"/>
      <c r="F9" s="904" t="s">
        <v>251</v>
      </c>
      <c r="G9" s="891"/>
      <c r="H9" s="891"/>
      <c r="I9" s="891"/>
      <c r="J9" s="891"/>
      <c r="K9" s="891"/>
      <c r="L9" s="891"/>
      <c r="M9" s="891"/>
      <c r="N9" s="891"/>
      <c r="O9" s="892"/>
      <c r="P9" s="904" t="s">
        <v>252</v>
      </c>
      <c r="Q9" s="891"/>
      <c r="R9" s="891"/>
      <c r="S9" s="891"/>
      <c r="T9" s="891"/>
      <c r="U9" s="891"/>
      <c r="V9" s="891"/>
      <c r="W9" s="891"/>
      <c r="X9" s="891"/>
      <c r="Y9" s="891"/>
      <c r="Z9" s="891"/>
      <c r="AA9" s="891"/>
      <c r="AB9" s="891"/>
      <c r="AC9" s="892"/>
      <c r="AD9" s="904" t="s">
        <v>253</v>
      </c>
      <c r="AE9" s="891"/>
      <c r="AF9" s="892"/>
      <c r="AG9" s="904" t="s">
        <v>254</v>
      </c>
      <c r="AH9" s="891"/>
      <c r="AI9" s="891"/>
      <c r="AJ9" s="891"/>
      <c r="AK9" s="891"/>
      <c r="AL9" s="892"/>
      <c r="AM9" s="905" t="s">
        <v>255</v>
      </c>
      <c r="AN9" s="905"/>
      <c r="AO9" s="905"/>
      <c r="AP9" s="905"/>
      <c r="AQ9" s="905"/>
      <c r="AR9" s="905"/>
      <c r="AS9" s="904" t="s">
        <v>256</v>
      </c>
      <c r="AT9" s="891"/>
      <c r="AU9" s="891"/>
      <c r="AV9" s="891"/>
      <c r="AW9" s="891"/>
      <c r="AX9" s="892"/>
      <c r="AY9" s="904" t="s">
        <v>257</v>
      </c>
      <c r="AZ9" s="891"/>
      <c r="BA9" s="891"/>
      <c r="BB9" s="891"/>
      <c r="BC9" s="891"/>
      <c r="BD9" s="892"/>
      <c r="BE9" s="891" t="s">
        <v>258</v>
      </c>
      <c r="BF9" s="891"/>
      <c r="BG9" s="891"/>
      <c r="BH9" s="891"/>
      <c r="BI9" s="891"/>
      <c r="BJ9" s="891"/>
      <c r="BK9" s="891"/>
      <c r="BL9" s="891"/>
      <c r="BM9" s="892"/>
    </row>
    <row r="10" spans="2:65">
      <c r="B10" s="893" t="s">
        <v>259</v>
      </c>
      <c r="C10" s="894"/>
      <c r="D10" s="894"/>
      <c r="E10" s="895"/>
      <c r="F10" s="896"/>
      <c r="G10" s="897"/>
      <c r="H10" s="897"/>
      <c r="I10" s="897"/>
      <c r="J10" s="897"/>
      <c r="K10" s="897"/>
      <c r="L10" s="897"/>
      <c r="M10" s="897"/>
      <c r="N10" s="897"/>
      <c r="O10" s="898"/>
      <c r="P10" s="899" t="s">
        <v>260</v>
      </c>
      <c r="Q10" s="899"/>
      <c r="R10" s="899"/>
      <c r="S10" s="899"/>
      <c r="T10" s="899"/>
      <c r="U10" s="899"/>
      <c r="V10" s="899"/>
      <c r="W10" s="899"/>
      <c r="X10" s="899"/>
      <c r="Y10" s="899"/>
      <c r="Z10" s="899"/>
      <c r="AA10" s="899"/>
      <c r="AB10" s="899"/>
      <c r="AC10" s="899"/>
      <c r="AD10" s="899" t="s">
        <v>335</v>
      </c>
      <c r="AE10" s="899"/>
      <c r="AF10" s="899"/>
      <c r="AG10" s="899" t="s">
        <v>262</v>
      </c>
      <c r="AH10" s="899"/>
      <c r="AI10" s="899"/>
      <c r="AJ10" s="899"/>
      <c r="AK10" s="899"/>
      <c r="AL10" s="899"/>
      <c r="AM10" s="899" t="s">
        <v>263</v>
      </c>
      <c r="AN10" s="899"/>
      <c r="AO10" s="899"/>
      <c r="AP10" s="899"/>
      <c r="AQ10" s="899"/>
      <c r="AR10" s="899"/>
      <c r="AS10" s="899" t="s">
        <v>264</v>
      </c>
      <c r="AT10" s="899"/>
      <c r="AU10" s="899"/>
      <c r="AV10" s="899"/>
      <c r="AW10" s="899"/>
      <c r="AX10" s="899"/>
      <c r="AY10" s="899" t="s">
        <v>265</v>
      </c>
      <c r="AZ10" s="899"/>
      <c r="BA10" s="899"/>
      <c r="BB10" s="899"/>
      <c r="BC10" s="899"/>
      <c r="BD10" s="899"/>
      <c r="BE10" s="900" t="s">
        <v>266</v>
      </c>
      <c r="BF10" s="900"/>
      <c r="BG10" s="900"/>
      <c r="BH10" s="901" t="s">
        <v>267</v>
      </c>
      <c r="BI10" s="901"/>
      <c r="BJ10" s="901"/>
      <c r="BK10" s="902" t="s">
        <v>255</v>
      </c>
      <c r="BL10" s="902"/>
      <c r="BM10" s="902"/>
    </row>
    <row r="11" spans="2:65" ht="32.25" customHeight="1">
      <c r="B11" s="881" t="s">
        <v>347</v>
      </c>
      <c r="C11" s="881"/>
      <c r="D11" s="881"/>
      <c r="E11" s="881"/>
      <c r="F11" s="999"/>
      <c r="G11" s="950"/>
      <c r="H11" s="950"/>
      <c r="I11" s="950"/>
      <c r="J11" s="950"/>
      <c r="K11" s="950"/>
      <c r="L11" s="950"/>
      <c r="M11" s="950"/>
      <c r="N11" s="950"/>
      <c r="O11" s="950"/>
      <c r="P11" s="999"/>
      <c r="Q11" s="950"/>
      <c r="R11" s="950"/>
      <c r="S11" s="950"/>
      <c r="T11" s="950"/>
      <c r="U11" s="950"/>
      <c r="V11" s="950"/>
      <c r="W11" s="950"/>
      <c r="X11" s="950"/>
      <c r="Y11" s="950"/>
      <c r="Z11" s="950"/>
      <c r="AA11" s="950"/>
      <c r="AB11" s="950"/>
      <c r="AC11" s="950"/>
      <c r="AD11" s="1001" t="s">
        <v>202</v>
      </c>
      <c r="AE11" s="1000"/>
      <c r="AF11" s="1000"/>
      <c r="AG11" s="951"/>
      <c r="AH11" s="951"/>
      <c r="AI11" s="951"/>
      <c r="AJ11" s="951"/>
      <c r="AK11" s="951"/>
      <c r="AL11" s="951"/>
      <c r="AM11" s="951"/>
      <c r="AN11" s="951"/>
      <c r="AO11" s="951"/>
      <c r="AP11" s="951"/>
      <c r="AQ11" s="951"/>
      <c r="AR11" s="951"/>
      <c r="AS11" s="886" t="str">
        <f>IF(AM11="","",AG11*AM11)</f>
        <v/>
      </c>
      <c r="AT11" s="886"/>
      <c r="AU11" s="886"/>
      <c r="AV11" s="886"/>
      <c r="AW11" s="886"/>
      <c r="AX11" s="886"/>
      <c r="AY11" s="886" t="str">
        <f>IF(AM11="","",ROUNDDOWN(AG11*AM11*1.1,0))</f>
        <v/>
      </c>
      <c r="AZ11" s="886"/>
      <c r="BA11" s="886"/>
      <c r="BB11" s="886"/>
      <c r="BC11" s="886"/>
      <c r="BD11" s="886"/>
      <c r="BE11" s="878" t="str">
        <f>IF(AS11="","",IF(AS11&gt;=300000,"必要",""))</f>
        <v/>
      </c>
      <c r="BF11" s="878"/>
      <c r="BG11" s="878"/>
      <c r="BH11" s="878" t="str">
        <f>IF(AS11="","",IF(AS11&gt;=1000000,"必要",""))</f>
        <v/>
      </c>
      <c r="BI11" s="878"/>
      <c r="BJ11" s="878"/>
      <c r="BK11" s="878" t="str">
        <f>IF(AM11="","",IF(AM11&lt;100000,"×","〇"))</f>
        <v/>
      </c>
      <c r="BL11" s="878"/>
      <c r="BM11" s="878"/>
    </row>
    <row r="12" spans="2:65" ht="32.25" customHeight="1">
      <c r="B12" s="881" t="s">
        <v>348</v>
      </c>
      <c r="C12" s="881"/>
      <c r="D12" s="881"/>
      <c r="E12" s="881"/>
      <c r="F12" s="999"/>
      <c r="G12" s="950"/>
      <c r="H12" s="950"/>
      <c r="I12" s="950"/>
      <c r="J12" s="950"/>
      <c r="K12" s="950"/>
      <c r="L12" s="950"/>
      <c r="M12" s="950"/>
      <c r="N12" s="950"/>
      <c r="O12" s="950"/>
      <c r="P12" s="949"/>
      <c r="Q12" s="949"/>
      <c r="R12" s="949"/>
      <c r="S12" s="949"/>
      <c r="T12" s="949"/>
      <c r="U12" s="949"/>
      <c r="V12" s="949"/>
      <c r="W12" s="949"/>
      <c r="X12" s="949"/>
      <c r="Y12" s="949"/>
      <c r="Z12" s="949"/>
      <c r="AA12" s="949"/>
      <c r="AB12" s="949"/>
      <c r="AC12" s="949"/>
      <c r="AD12" s="1000" t="s">
        <v>202</v>
      </c>
      <c r="AE12" s="1000"/>
      <c r="AF12" s="1000"/>
      <c r="AG12" s="951"/>
      <c r="AH12" s="951"/>
      <c r="AI12" s="951"/>
      <c r="AJ12" s="951"/>
      <c r="AK12" s="951"/>
      <c r="AL12" s="951"/>
      <c r="AM12" s="951"/>
      <c r="AN12" s="951"/>
      <c r="AO12" s="951"/>
      <c r="AP12" s="951"/>
      <c r="AQ12" s="951"/>
      <c r="AR12" s="951"/>
      <c r="AS12" s="886" t="str">
        <f t="shared" ref="AS12:AS20" si="0">IF(AM12="","",AG12*AM12)</f>
        <v/>
      </c>
      <c r="AT12" s="886"/>
      <c r="AU12" s="886"/>
      <c r="AV12" s="886"/>
      <c r="AW12" s="886"/>
      <c r="AX12" s="886"/>
      <c r="AY12" s="886" t="str">
        <f t="shared" ref="AY12:AY20" si="1">IF(AM12="","",ROUNDDOWN(AG12*AM12*1.1,0))</f>
        <v/>
      </c>
      <c r="AZ12" s="886"/>
      <c r="BA12" s="886"/>
      <c r="BB12" s="886"/>
      <c r="BC12" s="886"/>
      <c r="BD12" s="886"/>
      <c r="BE12" s="878" t="str">
        <f t="shared" ref="BE12:BE20" si="2">IF(AS12="","",IF(AS12&gt;=300000,"必要",""))</f>
        <v/>
      </c>
      <c r="BF12" s="878"/>
      <c r="BG12" s="878"/>
      <c r="BH12" s="878" t="str">
        <f t="shared" ref="BH12:BH20" si="3">IF(AS12="","",IF(AS12&gt;=1000000,"必要",""))</f>
        <v/>
      </c>
      <c r="BI12" s="878"/>
      <c r="BJ12" s="878"/>
      <c r="BK12" s="878" t="str">
        <f t="shared" ref="BK12:BK20" si="4">IF(AM12="","",IF(AM12&lt;100000,"×","〇"))</f>
        <v/>
      </c>
      <c r="BL12" s="878"/>
      <c r="BM12" s="878"/>
    </row>
    <row r="13" spans="2:65" ht="32.25" customHeight="1">
      <c r="B13" s="881" t="s">
        <v>349</v>
      </c>
      <c r="C13" s="881"/>
      <c r="D13" s="881"/>
      <c r="E13" s="881"/>
      <c r="F13" s="934"/>
      <c r="G13" s="934"/>
      <c r="H13" s="934"/>
      <c r="I13" s="934"/>
      <c r="J13" s="934"/>
      <c r="K13" s="934"/>
      <c r="L13" s="934"/>
      <c r="M13" s="934"/>
      <c r="N13" s="934"/>
      <c r="O13" s="934"/>
      <c r="P13" s="934"/>
      <c r="Q13" s="934"/>
      <c r="R13" s="934"/>
      <c r="S13" s="934"/>
      <c r="T13" s="934"/>
      <c r="U13" s="934"/>
      <c r="V13" s="934"/>
      <c r="W13" s="934"/>
      <c r="X13" s="934"/>
      <c r="Y13" s="934"/>
      <c r="Z13" s="934"/>
      <c r="AA13" s="934"/>
      <c r="AB13" s="934"/>
      <c r="AC13" s="934"/>
      <c r="AD13" s="935" t="s">
        <v>202</v>
      </c>
      <c r="AE13" s="935"/>
      <c r="AF13" s="935"/>
      <c r="AG13" s="951"/>
      <c r="AH13" s="951"/>
      <c r="AI13" s="951"/>
      <c r="AJ13" s="951"/>
      <c r="AK13" s="951"/>
      <c r="AL13" s="951"/>
      <c r="AM13" s="885"/>
      <c r="AN13" s="885"/>
      <c r="AO13" s="885"/>
      <c r="AP13" s="885"/>
      <c r="AQ13" s="885"/>
      <c r="AR13" s="885"/>
      <c r="AS13" s="886" t="str">
        <f t="shared" si="0"/>
        <v/>
      </c>
      <c r="AT13" s="886"/>
      <c r="AU13" s="886"/>
      <c r="AV13" s="886"/>
      <c r="AW13" s="886"/>
      <c r="AX13" s="886"/>
      <c r="AY13" s="886" t="str">
        <f t="shared" si="1"/>
        <v/>
      </c>
      <c r="AZ13" s="886"/>
      <c r="BA13" s="886"/>
      <c r="BB13" s="886"/>
      <c r="BC13" s="886"/>
      <c r="BD13" s="886"/>
      <c r="BE13" s="878" t="str">
        <f t="shared" si="2"/>
        <v/>
      </c>
      <c r="BF13" s="878"/>
      <c r="BG13" s="878"/>
      <c r="BH13" s="878" t="str">
        <f t="shared" si="3"/>
        <v/>
      </c>
      <c r="BI13" s="878"/>
      <c r="BJ13" s="878"/>
      <c r="BK13" s="878" t="str">
        <f t="shared" si="4"/>
        <v/>
      </c>
      <c r="BL13" s="878"/>
      <c r="BM13" s="878"/>
    </row>
    <row r="14" spans="2:65" ht="32.25" customHeight="1">
      <c r="B14" s="881" t="s">
        <v>350</v>
      </c>
      <c r="C14" s="881"/>
      <c r="D14" s="881"/>
      <c r="E14" s="881"/>
      <c r="F14" s="934"/>
      <c r="G14" s="934"/>
      <c r="H14" s="934"/>
      <c r="I14" s="934"/>
      <c r="J14" s="934"/>
      <c r="K14" s="934"/>
      <c r="L14" s="934"/>
      <c r="M14" s="934"/>
      <c r="N14" s="934"/>
      <c r="O14" s="934"/>
      <c r="P14" s="934"/>
      <c r="Q14" s="934"/>
      <c r="R14" s="934"/>
      <c r="S14" s="934"/>
      <c r="T14" s="934"/>
      <c r="U14" s="934"/>
      <c r="V14" s="934"/>
      <c r="W14" s="934"/>
      <c r="X14" s="934"/>
      <c r="Y14" s="934"/>
      <c r="Z14" s="934"/>
      <c r="AA14" s="934"/>
      <c r="AB14" s="934"/>
      <c r="AC14" s="934"/>
      <c r="AD14" s="935" t="s">
        <v>202</v>
      </c>
      <c r="AE14" s="935"/>
      <c r="AF14" s="935"/>
      <c r="AG14" s="885"/>
      <c r="AH14" s="885"/>
      <c r="AI14" s="885"/>
      <c r="AJ14" s="885"/>
      <c r="AK14" s="885"/>
      <c r="AL14" s="885"/>
      <c r="AM14" s="885"/>
      <c r="AN14" s="885"/>
      <c r="AO14" s="885"/>
      <c r="AP14" s="885"/>
      <c r="AQ14" s="885"/>
      <c r="AR14" s="885"/>
      <c r="AS14" s="886" t="str">
        <f t="shared" si="0"/>
        <v/>
      </c>
      <c r="AT14" s="886"/>
      <c r="AU14" s="886"/>
      <c r="AV14" s="886"/>
      <c r="AW14" s="886"/>
      <c r="AX14" s="886"/>
      <c r="AY14" s="886" t="str">
        <f t="shared" si="1"/>
        <v/>
      </c>
      <c r="AZ14" s="886"/>
      <c r="BA14" s="886"/>
      <c r="BB14" s="886"/>
      <c r="BC14" s="886"/>
      <c r="BD14" s="886"/>
      <c r="BE14" s="878" t="str">
        <f t="shared" si="2"/>
        <v/>
      </c>
      <c r="BF14" s="878"/>
      <c r="BG14" s="878"/>
      <c r="BH14" s="878" t="str">
        <f t="shared" si="3"/>
        <v/>
      </c>
      <c r="BI14" s="878"/>
      <c r="BJ14" s="878"/>
      <c r="BK14" s="878" t="str">
        <f t="shared" si="4"/>
        <v/>
      </c>
      <c r="BL14" s="878"/>
      <c r="BM14" s="878"/>
    </row>
    <row r="15" spans="2:65" ht="32.25" customHeight="1">
      <c r="B15" s="881" t="s">
        <v>351</v>
      </c>
      <c r="C15" s="881"/>
      <c r="D15" s="881"/>
      <c r="E15" s="881"/>
      <c r="F15" s="934"/>
      <c r="G15" s="934"/>
      <c r="H15" s="934"/>
      <c r="I15" s="934"/>
      <c r="J15" s="934"/>
      <c r="K15" s="934"/>
      <c r="L15" s="934"/>
      <c r="M15" s="934"/>
      <c r="N15" s="934"/>
      <c r="O15" s="934"/>
      <c r="P15" s="934"/>
      <c r="Q15" s="934"/>
      <c r="R15" s="934"/>
      <c r="S15" s="934"/>
      <c r="T15" s="934"/>
      <c r="U15" s="934"/>
      <c r="V15" s="934"/>
      <c r="W15" s="934"/>
      <c r="X15" s="934"/>
      <c r="Y15" s="934"/>
      <c r="Z15" s="934"/>
      <c r="AA15" s="934"/>
      <c r="AB15" s="934"/>
      <c r="AC15" s="934"/>
      <c r="AD15" s="935" t="s">
        <v>202</v>
      </c>
      <c r="AE15" s="935"/>
      <c r="AF15" s="935"/>
      <c r="AG15" s="885"/>
      <c r="AH15" s="885"/>
      <c r="AI15" s="885"/>
      <c r="AJ15" s="885"/>
      <c r="AK15" s="885"/>
      <c r="AL15" s="885"/>
      <c r="AM15" s="885"/>
      <c r="AN15" s="885"/>
      <c r="AO15" s="885"/>
      <c r="AP15" s="885"/>
      <c r="AQ15" s="885"/>
      <c r="AR15" s="885"/>
      <c r="AS15" s="886" t="str">
        <f t="shared" si="0"/>
        <v/>
      </c>
      <c r="AT15" s="886"/>
      <c r="AU15" s="886"/>
      <c r="AV15" s="886"/>
      <c r="AW15" s="886"/>
      <c r="AX15" s="886"/>
      <c r="AY15" s="886" t="str">
        <f t="shared" si="1"/>
        <v/>
      </c>
      <c r="AZ15" s="886"/>
      <c r="BA15" s="886"/>
      <c r="BB15" s="886"/>
      <c r="BC15" s="886"/>
      <c r="BD15" s="886"/>
      <c r="BE15" s="878" t="str">
        <f t="shared" si="2"/>
        <v/>
      </c>
      <c r="BF15" s="878"/>
      <c r="BG15" s="878"/>
      <c r="BH15" s="878" t="str">
        <f t="shared" si="3"/>
        <v/>
      </c>
      <c r="BI15" s="878"/>
      <c r="BJ15" s="878"/>
      <c r="BK15" s="878" t="str">
        <f t="shared" si="4"/>
        <v/>
      </c>
      <c r="BL15" s="878"/>
      <c r="BM15" s="878"/>
    </row>
    <row r="16" spans="2:65" ht="32.25" customHeight="1">
      <c r="B16" s="881" t="s">
        <v>352</v>
      </c>
      <c r="C16" s="881"/>
      <c r="D16" s="881"/>
      <c r="E16" s="881"/>
      <c r="F16" s="934"/>
      <c r="G16" s="934"/>
      <c r="H16" s="934"/>
      <c r="I16" s="934"/>
      <c r="J16" s="934"/>
      <c r="K16" s="934"/>
      <c r="L16" s="934"/>
      <c r="M16" s="934"/>
      <c r="N16" s="934"/>
      <c r="O16" s="934"/>
      <c r="P16" s="934"/>
      <c r="Q16" s="934"/>
      <c r="R16" s="934"/>
      <c r="S16" s="934"/>
      <c r="T16" s="934"/>
      <c r="U16" s="934"/>
      <c r="V16" s="934"/>
      <c r="W16" s="934"/>
      <c r="X16" s="934"/>
      <c r="Y16" s="934"/>
      <c r="Z16" s="934"/>
      <c r="AA16" s="934"/>
      <c r="AB16" s="934"/>
      <c r="AC16" s="934"/>
      <c r="AD16" s="935" t="s">
        <v>202</v>
      </c>
      <c r="AE16" s="935"/>
      <c r="AF16" s="935"/>
      <c r="AG16" s="885"/>
      <c r="AH16" s="885"/>
      <c r="AI16" s="885"/>
      <c r="AJ16" s="885"/>
      <c r="AK16" s="885"/>
      <c r="AL16" s="885"/>
      <c r="AM16" s="885"/>
      <c r="AN16" s="885"/>
      <c r="AO16" s="885"/>
      <c r="AP16" s="885"/>
      <c r="AQ16" s="885"/>
      <c r="AR16" s="885"/>
      <c r="AS16" s="886" t="str">
        <f t="shared" si="0"/>
        <v/>
      </c>
      <c r="AT16" s="886"/>
      <c r="AU16" s="886"/>
      <c r="AV16" s="886"/>
      <c r="AW16" s="886"/>
      <c r="AX16" s="886"/>
      <c r="AY16" s="886" t="str">
        <f t="shared" si="1"/>
        <v/>
      </c>
      <c r="AZ16" s="886"/>
      <c r="BA16" s="886"/>
      <c r="BB16" s="886"/>
      <c r="BC16" s="886"/>
      <c r="BD16" s="886"/>
      <c r="BE16" s="878" t="str">
        <f t="shared" si="2"/>
        <v/>
      </c>
      <c r="BF16" s="878"/>
      <c r="BG16" s="878"/>
      <c r="BH16" s="878" t="str">
        <f t="shared" si="3"/>
        <v/>
      </c>
      <c r="BI16" s="878"/>
      <c r="BJ16" s="878"/>
      <c r="BK16" s="878" t="str">
        <f t="shared" si="4"/>
        <v/>
      </c>
      <c r="BL16" s="878"/>
      <c r="BM16" s="878"/>
    </row>
    <row r="17" spans="2:65" ht="32.25" customHeight="1">
      <c r="B17" s="881" t="s">
        <v>353</v>
      </c>
      <c r="C17" s="881"/>
      <c r="D17" s="881"/>
      <c r="E17" s="881"/>
      <c r="F17" s="934"/>
      <c r="G17" s="934"/>
      <c r="H17" s="934"/>
      <c r="I17" s="934"/>
      <c r="J17" s="934"/>
      <c r="K17" s="934"/>
      <c r="L17" s="934"/>
      <c r="M17" s="934"/>
      <c r="N17" s="934"/>
      <c r="O17" s="934"/>
      <c r="P17" s="934"/>
      <c r="Q17" s="934"/>
      <c r="R17" s="934"/>
      <c r="S17" s="934"/>
      <c r="T17" s="934"/>
      <c r="U17" s="934"/>
      <c r="V17" s="934"/>
      <c r="W17" s="934"/>
      <c r="X17" s="934"/>
      <c r="Y17" s="934"/>
      <c r="Z17" s="934"/>
      <c r="AA17" s="934"/>
      <c r="AB17" s="934"/>
      <c r="AC17" s="934"/>
      <c r="AD17" s="935" t="s">
        <v>202</v>
      </c>
      <c r="AE17" s="935"/>
      <c r="AF17" s="935"/>
      <c r="AG17" s="885"/>
      <c r="AH17" s="885"/>
      <c r="AI17" s="885"/>
      <c r="AJ17" s="885"/>
      <c r="AK17" s="885"/>
      <c r="AL17" s="885"/>
      <c r="AM17" s="885"/>
      <c r="AN17" s="885"/>
      <c r="AO17" s="885"/>
      <c r="AP17" s="885"/>
      <c r="AQ17" s="885"/>
      <c r="AR17" s="885"/>
      <c r="AS17" s="886" t="str">
        <f t="shared" si="0"/>
        <v/>
      </c>
      <c r="AT17" s="886"/>
      <c r="AU17" s="886"/>
      <c r="AV17" s="886"/>
      <c r="AW17" s="886"/>
      <c r="AX17" s="886"/>
      <c r="AY17" s="886" t="str">
        <f t="shared" si="1"/>
        <v/>
      </c>
      <c r="AZ17" s="886"/>
      <c r="BA17" s="886"/>
      <c r="BB17" s="886"/>
      <c r="BC17" s="886"/>
      <c r="BD17" s="886"/>
      <c r="BE17" s="878" t="str">
        <f t="shared" si="2"/>
        <v/>
      </c>
      <c r="BF17" s="878"/>
      <c r="BG17" s="878"/>
      <c r="BH17" s="878" t="str">
        <f t="shared" si="3"/>
        <v/>
      </c>
      <c r="BI17" s="878"/>
      <c r="BJ17" s="878"/>
      <c r="BK17" s="878" t="str">
        <f t="shared" si="4"/>
        <v/>
      </c>
      <c r="BL17" s="878"/>
      <c r="BM17" s="878"/>
    </row>
    <row r="18" spans="2:65" ht="32.25" customHeight="1">
      <c r="B18" s="881" t="s">
        <v>354</v>
      </c>
      <c r="C18" s="881"/>
      <c r="D18" s="881"/>
      <c r="E18" s="881"/>
      <c r="F18" s="934"/>
      <c r="G18" s="934"/>
      <c r="H18" s="934"/>
      <c r="I18" s="934"/>
      <c r="J18" s="934"/>
      <c r="K18" s="934"/>
      <c r="L18" s="934"/>
      <c r="M18" s="934"/>
      <c r="N18" s="934"/>
      <c r="O18" s="934"/>
      <c r="P18" s="934"/>
      <c r="Q18" s="934"/>
      <c r="R18" s="934"/>
      <c r="S18" s="934"/>
      <c r="T18" s="934"/>
      <c r="U18" s="934"/>
      <c r="V18" s="934"/>
      <c r="W18" s="934"/>
      <c r="X18" s="934"/>
      <c r="Y18" s="934"/>
      <c r="Z18" s="934"/>
      <c r="AA18" s="934"/>
      <c r="AB18" s="934"/>
      <c r="AC18" s="934"/>
      <c r="AD18" s="935" t="s">
        <v>202</v>
      </c>
      <c r="AE18" s="935"/>
      <c r="AF18" s="935"/>
      <c r="AG18" s="885"/>
      <c r="AH18" s="885"/>
      <c r="AI18" s="885"/>
      <c r="AJ18" s="885"/>
      <c r="AK18" s="885"/>
      <c r="AL18" s="885"/>
      <c r="AM18" s="885"/>
      <c r="AN18" s="885"/>
      <c r="AO18" s="885"/>
      <c r="AP18" s="885"/>
      <c r="AQ18" s="885"/>
      <c r="AR18" s="885"/>
      <c r="AS18" s="886" t="str">
        <f t="shared" si="0"/>
        <v/>
      </c>
      <c r="AT18" s="886"/>
      <c r="AU18" s="886"/>
      <c r="AV18" s="886"/>
      <c r="AW18" s="886"/>
      <c r="AX18" s="886"/>
      <c r="AY18" s="886" t="str">
        <f t="shared" si="1"/>
        <v/>
      </c>
      <c r="AZ18" s="886"/>
      <c r="BA18" s="886"/>
      <c r="BB18" s="886"/>
      <c r="BC18" s="886"/>
      <c r="BD18" s="886"/>
      <c r="BE18" s="878" t="str">
        <f t="shared" si="2"/>
        <v/>
      </c>
      <c r="BF18" s="878"/>
      <c r="BG18" s="878"/>
      <c r="BH18" s="878" t="str">
        <f t="shared" si="3"/>
        <v/>
      </c>
      <c r="BI18" s="878"/>
      <c r="BJ18" s="878"/>
      <c r="BK18" s="878" t="str">
        <f t="shared" si="4"/>
        <v/>
      </c>
      <c r="BL18" s="878"/>
      <c r="BM18" s="878"/>
    </row>
    <row r="19" spans="2:65" ht="32.25" customHeight="1">
      <c r="B19" s="881" t="s">
        <v>355</v>
      </c>
      <c r="C19" s="881"/>
      <c r="D19" s="881"/>
      <c r="E19" s="881"/>
      <c r="F19" s="934"/>
      <c r="G19" s="934"/>
      <c r="H19" s="934"/>
      <c r="I19" s="934"/>
      <c r="J19" s="934"/>
      <c r="K19" s="934"/>
      <c r="L19" s="934"/>
      <c r="M19" s="934"/>
      <c r="N19" s="934"/>
      <c r="O19" s="934"/>
      <c r="P19" s="934"/>
      <c r="Q19" s="934"/>
      <c r="R19" s="934"/>
      <c r="S19" s="934"/>
      <c r="T19" s="934"/>
      <c r="U19" s="934"/>
      <c r="V19" s="934"/>
      <c r="W19" s="934"/>
      <c r="X19" s="934"/>
      <c r="Y19" s="934"/>
      <c r="Z19" s="934"/>
      <c r="AA19" s="934"/>
      <c r="AB19" s="934"/>
      <c r="AC19" s="934"/>
      <c r="AD19" s="935" t="s">
        <v>202</v>
      </c>
      <c r="AE19" s="935"/>
      <c r="AF19" s="935"/>
      <c r="AG19" s="885"/>
      <c r="AH19" s="885"/>
      <c r="AI19" s="885"/>
      <c r="AJ19" s="885"/>
      <c r="AK19" s="885"/>
      <c r="AL19" s="885"/>
      <c r="AM19" s="885"/>
      <c r="AN19" s="885"/>
      <c r="AO19" s="885"/>
      <c r="AP19" s="885"/>
      <c r="AQ19" s="885"/>
      <c r="AR19" s="885"/>
      <c r="AS19" s="886" t="str">
        <f t="shared" si="0"/>
        <v/>
      </c>
      <c r="AT19" s="886"/>
      <c r="AU19" s="886"/>
      <c r="AV19" s="886"/>
      <c r="AW19" s="886"/>
      <c r="AX19" s="886"/>
      <c r="AY19" s="886" t="str">
        <f t="shared" si="1"/>
        <v/>
      </c>
      <c r="AZ19" s="886"/>
      <c r="BA19" s="886"/>
      <c r="BB19" s="886"/>
      <c r="BC19" s="886"/>
      <c r="BD19" s="886"/>
      <c r="BE19" s="878" t="str">
        <f t="shared" si="2"/>
        <v/>
      </c>
      <c r="BF19" s="878"/>
      <c r="BG19" s="878"/>
      <c r="BH19" s="878" t="str">
        <f t="shared" si="3"/>
        <v/>
      </c>
      <c r="BI19" s="878"/>
      <c r="BJ19" s="878"/>
      <c r="BK19" s="878" t="str">
        <f t="shared" si="4"/>
        <v/>
      </c>
      <c r="BL19" s="878"/>
      <c r="BM19" s="878"/>
    </row>
    <row r="20" spans="2:65" ht="32.25" customHeight="1">
      <c r="B20" s="881" t="s">
        <v>356</v>
      </c>
      <c r="C20" s="881"/>
      <c r="D20" s="881"/>
      <c r="E20" s="881"/>
      <c r="F20" s="934"/>
      <c r="G20" s="934"/>
      <c r="H20" s="934"/>
      <c r="I20" s="934"/>
      <c r="J20" s="934"/>
      <c r="K20" s="934"/>
      <c r="L20" s="934"/>
      <c r="M20" s="934"/>
      <c r="N20" s="934"/>
      <c r="O20" s="934"/>
      <c r="P20" s="934"/>
      <c r="Q20" s="934"/>
      <c r="R20" s="934"/>
      <c r="S20" s="934"/>
      <c r="T20" s="934"/>
      <c r="U20" s="934"/>
      <c r="V20" s="934"/>
      <c r="W20" s="934"/>
      <c r="X20" s="934"/>
      <c r="Y20" s="934"/>
      <c r="Z20" s="934"/>
      <c r="AA20" s="934"/>
      <c r="AB20" s="934"/>
      <c r="AC20" s="934"/>
      <c r="AD20" s="935" t="s">
        <v>202</v>
      </c>
      <c r="AE20" s="935"/>
      <c r="AF20" s="935"/>
      <c r="AG20" s="885"/>
      <c r="AH20" s="885"/>
      <c r="AI20" s="885"/>
      <c r="AJ20" s="885"/>
      <c r="AK20" s="885"/>
      <c r="AL20" s="885"/>
      <c r="AM20" s="885"/>
      <c r="AN20" s="885"/>
      <c r="AO20" s="885"/>
      <c r="AP20" s="885"/>
      <c r="AQ20" s="885"/>
      <c r="AR20" s="885"/>
      <c r="AS20" s="886" t="str">
        <f t="shared" si="0"/>
        <v/>
      </c>
      <c r="AT20" s="886"/>
      <c r="AU20" s="886"/>
      <c r="AV20" s="886"/>
      <c r="AW20" s="886"/>
      <c r="AX20" s="886"/>
      <c r="AY20" s="886" t="str">
        <f t="shared" si="1"/>
        <v/>
      </c>
      <c r="AZ20" s="886"/>
      <c r="BA20" s="886"/>
      <c r="BB20" s="886"/>
      <c r="BC20" s="886"/>
      <c r="BD20" s="886"/>
      <c r="BE20" s="878" t="str">
        <f t="shared" si="2"/>
        <v/>
      </c>
      <c r="BF20" s="878"/>
      <c r="BG20" s="878"/>
      <c r="BH20" s="878" t="str">
        <f t="shared" si="3"/>
        <v/>
      </c>
      <c r="BI20" s="878"/>
      <c r="BJ20" s="878"/>
      <c r="BK20" s="878" t="str">
        <f t="shared" si="4"/>
        <v/>
      </c>
      <c r="BL20" s="878"/>
      <c r="BM20" s="878"/>
    </row>
    <row r="21" spans="2:65" ht="32.25" customHeight="1">
      <c r="AM21" s="887" t="s">
        <v>34</v>
      </c>
      <c r="AN21" s="887"/>
      <c r="AO21" s="887"/>
      <c r="AP21" s="887"/>
      <c r="AQ21" s="887"/>
      <c r="AR21" s="888"/>
      <c r="AS21" s="889">
        <f>SUM(AS11:AX20)</f>
        <v>0</v>
      </c>
      <c r="AT21" s="889"/>
      <c r="AU21" s="889"/>
      <c r="AV21" s="889"/>
      <c r="AW21" s="889"/>
      <c r="AX21" s="889"/>
      <c r="AY21" s="889">
        <f>SUM(AY11:BD20)</f>
        <v>0</v>
      </c>
      <c r="AZ21" s="889"/>
      <c r="BA21" s="889"/>
      <c r="BB21" s="889"/>
      <c r="BC21" s="889"/>
      <c r="BD21" s="889"/>
    </row>
    <row r="22" spans="2:65" ht="18" customHeight="1">
      <c r="AM22" s="220"/>
      <c r="AN22" s="220"/>
      <c r="AO22" s="220"/>
      <c r="AP22" s="220"/>
      <c r="AQ22" s="220"/>
      <c r="AR22" s="220"/>
      <c r="AS22" s="224"/>
      <c r="AT22" s="224"/>
      <c r="AU22" s="224"/>
      <c r="AV22" s="224"/>
      <c r="AW22" s="224"/>
      <c r="AX22" s="224"/>
      <c r="AY22" s="224"/>
      <c r="AZ22" s="224"/>
      <c r="BA22" s="224"/>
      <c r="BB22" s="224"/>
      <c r="BC22" s="224"/>
      <c r="BD22" s="224"/>
      <c r="BE22" s="223"/>
    </row>
    <row r="23" spans="2:65" ht="18" customHeight="1">
      <c r="B23" s="221" t="s">
        <v>516</v>
      </c>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c r="AC23" s="104"/>
      <c r="AD23" s="104"/>
      <c r="AE23" s="104"/>
      <c r="AF23" s="104"/>
      <c r="AG23" s="104"/>
      <c r="AH23" s="104"/>
      <c r="AI23" s="104"/>
      <c r="AJ23" s="104"/>
      <c r="AK23" s="104"/>
      <c r="AL23" s="104"/>
      <c r="AM23" s="104"/>
      <c r="AN23" s="104"/>
      <c r="AO23" s="104"/>
      <c r="AP23" s="104"/>
      <c r="AQ23" s="104"/>
      <c r="AR23" s="104"/>
      <c r="AS23" s="104"/>
      <c r="AT23" s="104"/>
      <c r="AU23" s="104"/>
      <c r="AV23" s="104"/>
      <c r="AW23" s="104"/>
      <c r="AX23" s="104"/>
      <c r="AY23" s="104"/>
      <c r="AZ23" s="104"/>
      <c r="BA23" s="104"/>
      <c r="BB23" s="104"/>
      <c r="BC23" s="104"/>
      <c r="BD23" s="104"/>
      <c r="BE23" s="104"/>
      <c r="BF23" s="104"/>
      <c r="BG23" s="104"/>
      <c r="BH23" s="104"/>
      <c r="BI23" s="104"/>
      <c r="BJ23" s="104"/>
      <c r="BK23" s="104"/>
      <c r="BL23" s="104"/>
      <c r="BM23" s="104"/>
    </row>
    <row r="24" spans="2:65">
      <c r="B24" s="104"/>
      <c r="C24" s="105" t="s">
        <v>531</v>
      </c>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row>
    <row r="25" spans="2:65">
      <c r="B25" s="104"/>
      <c r="C25" s="931" t="s">
        <v>292</v>
      </c>
      <c r="D25" s="932"/>
      <c r="E25" s="932"/>
      <c r="F25" s="932"/>
      <c r="G25" s="932"/>
      <c r="H25" s="932"/>
      <c r="I25" s="932"/>
      <c r="J25" s="932"/>
      <c r="K25" s="932"/>
      <c r="L25" s="932"/>
      <c r="M25" s="932"/>
      <c r="N25" s="932"/>
      <c r="O25" s="932"/>
      <c r="P25" s="932"/>
      <c r="Q25" s="932"/>
      <c r="R25" s="932"/>
      <c r="S25" s="932"/>
      <c r="T25" s="932"/>
      <c r="U25" s="932"/>
      <c r="V25" s="932"/>
      <c r="W25" s="932"/>
      <c r="X25" s="932"/>
      <c r="Y25" s="932"/>
      <c r="Z25" s="932"/>
      <c r="AA25" s="932"/>
      <c r="AB25" s="932"/>
      <c r="AC25" s="932"/>
      <c r="AD25" s="932"/>
      <c r="AE25" s="932"/>
      <c r="AF25" s="932"/>
      <c r="AG25" s="932"/>
      <c r="AH25" s="932"/>
      <c r="AI25" s="932"/>
      <c r="AJ25" s="932"/>
      <c r="AK25" s="932"/>
      <c r="AL25" s="932"/>
      <c r="AM25" s="932"/>
      <c r="AN25" s="932"/>
      <c r="AO25" s="932"/>
      <c r="AP25" s="932"/>
      <c r="AQ25" s="932"/>
      <c r="AR25" s="932"/>
      <c r="AS25" s="932"/>
      <c r="AT25" s="932"/>
      <c r="AU25" s="932"/>
      <c r="AV25" s="932"/>
      <c r="AW25" s="932"/>
      <c r="AX25" s="932"/>
      <c r="AY25" s="932"/>
      <c r="AZ25" s="932"/>
      <c r="BA25" s="932"/>
      <c r="BB25" s="932"/>
      <c r="BC25" s="932"/>
      <c r="BD25" s="932"/>
      <c r="BE25" s="932"/>
      <c r="BF25" s="932"/>
      <c r="BG25" s="932"/>
      <c r="BH25" s="932"/>
      <c r="BI25" s="932"/>
      <c r="BJ25" s="932"/>
      <c r="BK25" s="932"/>
      <c r="BL25" s="932"/>
      <c r="BM25" s="932"/>
    </row>
    <row r="26" spans="2:65" ht="23.5" customHeight="1">
      <c r="B26" s="923" t="s">
        <v>432</v>
      </c>
      <c r="C26" s="929"/>
      <c r="D26" s="929"/>
      <c r="E26" s="930"/>
      <c r="F26" s="920"/>
      <c r="G26" s="921"/>
      <c r="H26" s="921"/>
      <c r="I26" s="921"/>
      <c r="J26" s="922"/>
      <c r="K26" s="918" t="s">
        <v>429</v>
      </c>
      <c r="L26" s="906"/>
      <c r="M26" s="906"/>
      <c r="N26" s="906"/>
      <c r="O26" s="906"/>
      <c r="P26" s="920"/>
      <c r="Q26" s="921"/>
      <c r="R26" s="921"/>
      <c r="S26" s="921"/>
      <c r="T26" s="921"/>
      <c r="U26" s="921"/>
      <c r="V26" s="921"/>
      <c r="W26" s="921"/>
      <c r="X26" s="921"/>
      <c r="Y26" s="921"/>
      <c r="Z26" s="921"/>
      <c r="AA26" s="921"/>
      <c r="AB26" s="921"/>
      <c r="AC26" s="921"/>
      <c r="AD26" s="921"/>
      <c r="AE26" s="921"/>
      <c r="AF26" s="921"/>
      <c r="AG26" s="921"/>
      <c r="AH26" s="921"/>
      <c r="AI26" s="921"/>
      <c r="AJ26" s="921"/>
      <c r="AK26" s="922"/>
      <c r="AL26" s="997" t="s">
        <v>518</v>
      </c>
      <c r="AM26" s="924"/>
      <c r="AN26" s="924"/>
      <c r="AO26" s="924"/>
      <c r="AP26" s="924"/>
      <c r="AQ26" s="925"/>
      <c r="AR26" s="926"/>
      <c r="AS26" s="927"/>
      <c r="AT26" s="927"/>
      <c r="AU26" s="927"/>
      <c r="AV26" s="927"/>
      <c r="AW26" s="927"/>
      <c r="AX26" s="927"/>
      <c r="AY26" s="927"/>
      <c r="AZ26" s="927"/>
      <c r="BA26" s="927"/>
      <c r="BB26" s="927"/>
      <c r="BC26" s="927"/>
      <c r="BD26" s="927"/>
      <c r="BE26" s="927"/>
      <c r="BF26" s="927"/>
      <c r="BG26" s="927"/>
      <c r="BH26" s="927"/>
      <c r="BI26" s="927"/>
      <c r="BJ26" s="927"/>
      <c r="BK26" s="927"/>
      <c r="BL26" s="927"/>
      <c r="BM26" s="928"/>
    </row>
    <row r="27" spans="2:65" ht="23.5" customHeight="1">
      <c r="B27" s="998" t="s">
        <v>517</v>
      </c>
      <c r="C27" s="910"/>
      <c r="D27" s="910"/>
      <c r="E27" s="910"/>
      <c r="F27" s="910"/>
      <c r="G27" s="910"/>
      <c r="H27" s="910"/>
      <c r="I27" s="910"/>
      <c r="J27" s="910"/>
      <c r="K27" s="910"/>
      <c r="L27" s="910"/>
      <c r="M27" s="910"/>
      <c r="N27" s="910"/>
      <c r="O27" s="911"/>
      <c r="P27" s="920"/>
      <c r="Q27" s="921"/>
      <c r="R27" s="921"/>
      <c r="S27" s="921"/>
      <c r="T27" s="921"/>
      <c r="U27" s="921"/>
      <c r="V27" s="921"/>
      <c r="W27" s="921"/>
      <c r="X27" s="921"/>
      <c r="Y27" s="921"/>
      <c r="Z27" s="921"/>
      <c r="AA27" s="921"/>
      <c r="AB27" s="921"/>
      <c r="AC27" s="921"/>
      <c r="AD27" s="921"/>
      <c r="AE27" s="921"/>
      <c r="AF27" s="921"/>
      <c r="AG27" s="921"/>
      <c r="AH27" s="921"/>
      <c r="AI27" s="921"/>
      <c r="AJ27" s="921"/>
      <c r="AK27" s="921"/>
      <c r="AL27" s="921"/>
      <c r="AM27" s="921"/>
      <c r="AN27" s="921"/>
      <c r="AO27" s="921"/>
      <c r="AP27" s="921"/>
      <c r="AQ27" s="921"/>
      <c r="AR27" s="921"/>
      <c r="AS27" s="921"/>
      <c r="AT27" s="921"/>
      <c r="AU27" s="921"/>
      <c r="AV27" s="921"/>
      <c r="AW27" s="921"/>
      <c r="AX27" s="921"/>
      <c r="AY27" s="921"/>
      <c r="AZ27" s="921"/>
      <c r="BA27" s="921"/>
      <c r="BB27" s="921"/>
      <c r="BC27" s="921"/>
      <c r="BD27" s="921"/>
      <c r="BE27" s="921"/>
      <c r="BF27" s="921"/>
      <c r="BG27" s="921"/>
      <c r="BH27" s="921"/>
      <c r="BI27" s="921"/>
      <c r="BJ27" s="921"/>
      <c r="BK27" s="921"/>
      <c r="BL27" s="921"/>
      <c r="BM27" s="922"/>
    </row>
    <row r="28" spans="2:65" ht="24" customHeight="1">
      <c r="B28" s="937" t="s">
        <v>305</v>
      </c>
      <c r="C28" s="938"/>
      <c r="D28" s="938"/>
      <c r="E28" s="938"/>
      <c r="F28" s="938"/>
      <c r="G28" s="938"/>
      <c r="H28" s="938"/>
      <c r="I28" s="938"/>
      <c r="J28" s="938"/>
      <c r="K28" s="938"/>
      <c r="L28" s="938"/>
      <c r="M28" s="938"/>
      <c r="N28" s="938"/>
      <c r="O28" s="939"/>
      <c r="P28" s="944" t="s">
        <v>306</v>
      </c>
      <c r="Q28" s="945"/>
      <c r="R28" s="945"/>
      <c r="S28" s="945"/>
      <c r="T28" s="945"/>
      <c r="U28" s="945"/>
      <c r="V28" s="945"/>
      <c r="W28" s="945"/>
      <c r="X28" s="945"/>
      <c r="Y28" s="945"/>
      <c r="Z28" s="945"/>
      <c r="AA28" s="945"/>
      <c r="AB28" s="945"/>
      <c r="AC28" s="945"/>
      <c r="AD28" s="945"/>
      <c r="AE28" s="945"/>
      <c r="AF28" s="945"/>
      <c r="AG28" s="945"/>
      <c r="AH28" s="945"/>
      <c r="AI28" s="945"/>
      <c r="AJ28" s="945"/>
      <c r="AK28" s="945"/>
      <c r="AL28" s="945"/>
      <c r="AM28" s="945"/>
      <c r="AN28" s="945"/>
      <c r="AO28" s="945"/>
      <c r="AP28" s="945"/>
      <c r="AQ28" s="945"/>
      <c r="AR28" s="945"/>
      <c r="AS28" s="945"/>
      <c r="AT28" s="945"/>
      <c r="AU28" s="945"/>
      <c r="AV28" s="945"/>
      <c r="AW28" s="945"/>
      <c r="AX28" s="945"/>
      <c r="AY28" s="945"/>
      <c r="AZ28" s="945"/>
      <c r="BA28" s="945"/>
      <c r="BB28" s="945"/>
      <c r="BC28" s="945"/>
      <c r="BD28" s="945"/>
      <c r="BE28" s="945"/>
      <c r="BF28" s="945"/>
      <c r="BG28" s="945"/>
      <c r="BH28" s="945"/>
      <c r="BI28" s="945"/>
      <c r="BJ28" s="945"/>
      <c r="BK28" s="945"/>
      <c r="BL28" s="945"/>
      <c r="BM28" s="946"/>
    </row>
    <row r="29" spans="2:65" ht="23.5" customHeight="1">
      <c r="B29" s="996" t="s">
        <v>519</v>
      </c>
      <c r="C29" s="906"/>
      <c r="D29" s="906"/>
      <c r="E29" s="906"/>
      <c r="F29" s="906"/>
      <c r="G29" s="906"/>
      <c r="H29" s="906"/>
      <c r="I29" s="906"/>
      <c r="J29" s="906"/>
      <c r="K29" s="906"/>
      <c r="L29" s="906"/>
      <c r="M29" s="906"/>
      <c r="N29" s="906"/>
      <c r="O29" s="906"/>
      <c r="P29" s="908"/>
      <c r="Q29" s="908"/>
      <c r="R29" s="908"/>
      <c r="S29" s="908"/>
      <c r="T29" s="908"/>
      <c r="U29" s="908"/>
      <c r="V29" s="908"/>
      <c r="W29" s="908"/>
      <c r="X29" s="908"/>
      <c r="Y29" s="908"/>
      <c r="Z29" s="908"/>
      <c r="AA29" s="908"/>
      <c r="AB29" s="908"/>
      <c r="AC29" s="908"/>
      <c r="AD29" s="908"/>
      <c r="AE29" s="908"/>
      <c r="AF29" s="908"/>
      <c r="AG29" s="908"/>
      <c r="AH29" s="908"/>
      <c r="AI29" s="908"/>
      <c r="AJ29" s="908"/>
      <c r="AK29" s="908"/>
      <c r="AL29" s="908"/>
      <c r="AM29" s="908"/>
      <c r="AN29" s="908"/>
      <c r="AO29" s="908"/>
      <c r="AP29" s="908"/>
      <c r="AQ29" s="908"/>
      <c r="AR29" s="908"/>
      <c r="AS29" s="908"/>
      <c r="AT29" s="908"/>
      <c r="AU29" s="908"/>
      <c r="AV29" s="908"/>
      <c r="AW29" s="908"/>
      <c r="AX29" s="908"/>
      <c r="AY29" s="908"/>
      <c r="AZ29" s="908"/>
      <c r="BA29" s="908"/>
      <c r="BB29" s="908"/>
      <c r="BC29" s="908"/>
      <c r="BD29" s="908"/>
      <c r="BE29" s="908"/>
      <c r="BF29" s="908"/>
      <c r="BG29" s="908"/>
      <c r="BH29" s="908"/>
      <c r="BI29" s="908"/>
      <c r="BJ29" s="908"/>
      <c r="BK29" s="908"/>
      <c r="BL29" s="908"/>
      <c r="BM29" s="908"/>
    </row>
    <row r="30" spans="2:65" ht="23.5" customHeight="1">
      <c r="B30" s="906" t="s">
        <v>294</v>
      </c>
      <c r="C30" s="906"/>
      <c r="D30" s="906"/>
      <c r="E30" s="906"/>
      <c r="F30" s="906"/>
      <c r="G30" s="906"/>
      <c r="H30" s="906"/>
      <c r="I30" s="906"/>
      <c r="J30" s="906"/>
      <c r="K30" s="906"/>
      <c r="L30" s="906"/>
      <c r="M30" s="906"/>
      <c r="N30" s="906"/>
      <c r="O30" s="906"/>
      <c r="P30" s="906"/>
      <c r="Q30" s="906"/>
      <c r="R30" s="906"/>
      <c r="S30" s="906"/>
      <c r="T30" s="906"/>
      <c r="U30" s="906"/>
      <c r="V30" s="906"/>
      <c r="W30" s="906"/>
      <c r="X30" s="906"/>
      <c r="Y30" s="906"/>
      <c r="Z30" s="906"/>
      <c r="AA30" s="906"/>
      <c r="AB30" s="906"/>
      <c r="AC30" s="906"/>
      <c r="AD30" s="906"/>
      <c r="AE30" s="906"/>
      <c r="AF30" s="906"/>
      <c r="AG30" s="906"/>
      <c r="AH30" s="906"/>
      <c r="AI30" s="906"/>
      <c r="AJ30" s="906"/>
      <c r="AK30" s="906"/>
      <c r="AL30" s="906"/>
      <c r="AM30" s="906"/>
      <c r="AN30" s="906"/>
      <c r="AO30" s="906"/>
      <c r="AP30" s="906"/>
      <c r="AQ30" s="906"/>
      <c r="AR30" s="906"/>
      <c r="AS30" s="906"/>
      <c r="AT30" s="906"/>
      <c r="AU30" s="906"/>
      <c r="AV30" s="906"/>
      <c r="AW30" s="906"/>
      <c r="AX30" s="906"/>
      <c r="AY30" s="906"/>
      <c r="AZ30" s="906"/>
      <c r="BA30" s="906"/>
      <c r="BB30" s="906"/>
      <c r="BC30" s="906"/>
      <c r="BD30" s="906"/>
      <c r="BE30" s="906"/>
      <c r="BF30" s="907" t="s">
        <v>295</v>
      </c>
      <c r="BG30" s="907"/>
      <c r="BH30" s="907"/>
      <c r="BI30" s="907"/>
      <c r="BJ30" s="907"/>
      <c r="BK30" s="907"/>
      <c r="BL30" s="907"/>
      <c r="BM30" s="907"/>
    </row>
  </sheetData>
  <mergeCells count="151">
    <mergeCell ref="AM8:AR8"/>
    <mergeCell ref="AS8:AX8"/>
    <mergeCell ref="AY8:BD8"/>
    <mergeCell ref="B9:E9"/>
    <mergeCell ref="F9:O9"/>
    <mergeCell ref="P9:AC9"/>
    <mergeCell ref="AD9:AF9"/>
    <mergeCell ref="AG9:AL9"/>
    <mergeCell ref="AM9:AR9"/>
    <mergeCell ref="AS9:AX9"/>
    <mergeCell ref="AY9:BD9"/>
    <mergeCell ref="B13:E13"/>
    <mergeCell ref="F13:O13"/>
    <mergeCell ref="P13:AC13"/>
    <mergeCell ref="AD13:AF13"/>
    <mergeCell ref="AG13:AL13"/>
    <mergeCell ref="AM13:AR13"/>
    <mergeCell ref="AS13:AX13"/>
    <mergeCell ref="BE9:BM9"/>
    <mergeCell ref="B10:E10"/>
    <mergeCell ref="F10:O10"/>
    <mergeCell ref="P10:AC10"/>
    <mergeCell ref="AD10:AF10"/>
    <mergeCell ref="AG10:AL10"/>
    <mergeCell ref="AM10:AR10"/>
    <mergeCell ref="AS10:AX10"/>
    <mergeCell ref="AY10:BD10"/>
    <mergeCell ref="BE10:BG10"/>
    <mergeCell ref="BH10:BJ10"/>
    <mergeCell ref="BK10:BM10"/>
    <mergeCell ref="AY11:BD11"/>
    <mergeCell ref="BE11:BG11"/>
    <mergeCell ref="BH11:BJ11"/>
    <mergeCell ref="BK11:BM11"/>
    <mergeCell ref="B12:E12"/>
    <mergeCell ref="F12:O12"/>
    <mergeCell ref="P12:AC12"/>
    <mergeCell ref="AD12:AF12"/>
    <mergeCell ref="AG12:AL12"/>
    <mergeCell ref="AM12:AR12"/>
    <mergeCell ref="B11:E11"/>
    <mergeCell ref="F11:O11"/>
    <mergeCell ref="P11:AC11"/>
    <mergeCell ref="AD11:AF11"/>
    <mergeCell ref="AG11:AL11"/>
    <mergeCell ref="AM11:AR11"/>
    <mergeCell ref="AS11:AX11"/>
    <mergeCell ref="AY13:BD13"/>
    <mergeCell ref="BE13:BG13"/>
    <mergeCell ref="BH13:BJ13"/>
    <mergeCell ref="BK13:BM13"/>
    <mergeCell ref="AS12:AX12"/>
    <mergeCell ref="AY12:BD12"/>
    <mergeCell ref="BE12:BG12"/>
    <mergeCell ref="BH12:BJ12"/>
    <mergeCell ref="BK12:BM12"/>
    <mergeCell ref="B15:E15"/>
    <mergeCell ref="F15:O15"/>
    <mergeCell ref="P15:AC15"/>
    <mergeCell ref="AD15:AF15"/>
    <mergeCell ref="AG15:AL15"/>
    <mergeCell ref="B14:E14"/>
    <mergeCell ref="F14:O14"/>
    <mergeCell ref="P14:AC14"/>
    <mergeCell ref="AD14:AF14"/>
    <mergeCell ref="AG14:AL14"/>
    <mergeCell ref="AM15:AR15"/>
    <mergeCell ref="AS15:AX15"/>
    <mergeCell ref="AY15:BD15"/>
    <mergeCell ref="BE15:BG15"/>
    <mergeCell ref="BH15:BJ15"/>
    <mergeCell ref="BK15:BM15"/>
    <mergeCell ref="AS14:AX14"/>
    <mergeCell ref="AY14:BD14"/>
    <mergeCell ref="BE14:BG14"/>
    <mergeCell ref="BH14:BJ14"/>
    <mergeCell ref="BK14:BM14"/>
    <mergeCell ref="AM14:AR14"/>
    <mergeCell ref="B17:E17"/>
    <mergeCell ref="F17:O17"/>
    <mergeCell ref="P17:AC17"/>
    <mergeCell ref="AD17:AF17"/>
    <mergeCell ref="AG17:AL17"/>
    <mergeCell ref="B16:E16"/>
    <mergeCell ref="F16:O16"/>
    <mergeCell ref="P16:AC16"/>
    <mergeCell ref="AD16:AF16"/>
    <mergeCell ref="AG16:AL16"/>
    <mergeCell ref="AM17:AR17"/>
    <mergeCell ref="AS17:AX17"/>
    <mergeCell ref="AY17:BD17"/>
    <mergeCell ref="BE17:BG17"/>
    <mergeCell ref="BH17:BJ17"/>
    <mergeCell ref="BK17:BM17"/>
    <mergeCell ref="AS16:AX16"/>
    <mergeCell ref="AY16:BD16"/>
    <mergeCell ref="BE16:BG16"/>
    <mergeCell ref="BH16:BJ16"/>
    <mergeCell ref="BK16:BM16"/>
    <mergeCell ref="AM16:AR16"/>
    <mergeCell ref="BH19:BJ19"/>
    <mergeCell ref="BK19:BM19"/>
    <mergeCell ref="AS18:AX18"/>
    <mergeCell ref="AY18:BD18"/>
    <mergeCell ref="BE18:BG18"/>
    <mergeCell ref="BH18:BJ18"/>
    <mergeCell ref="BK18:BM18"/>
    <mergeCell ref="AM18:AR18"/>
    <mergeCell ref="B19:E19"/>
    <mergeCell ref="F19:O19"/>
    <mergeCell ref="P19:AC19"/>
    <mergeCell ref="AD19:AF19"/>
    <mergeCell ref="AG19:AL19"/>
    <mergeCell ref="B18:E18"/>
    <mergeCell ref="F18:O18"/>
    <mergeCell ref="P18:AC18"/>
    <mergeCell ref="AD18:AF18"/>
    <mergeCell ref="AG18:AL18"/>
    <mergeCell ref="B20:E20"/>
    <mergeCell ref="F20:O20"/>
    <mergeCell ref="P20:AC20"/>
    <mergeCell ref="AD20:AF20"/>
    <mergeCell ref="AG20:AL20"/>
    <mergeCell ref="AM19:AR19"/>
    <mergeCell ref="AS19:AX19"/>
    <mergeCell ref="AY19:BD19"/>
    <mergeCell ref="BE19:BG19"/>
    <mergeCell ref="AM21:AR21"/>
    <mergeCell ref="AS21:AX21"/>
    <mergeCell ref="AY21:BD21"/>
    <mergeCell ref="AS20:AX20"/>
    <mergeCell ref="AY20:BD20"/>
    <mergeCell ref="BE20:BG20"/>
    <mergeCell ref="BH20:BJ20"/>
    <mergeCell ref="BK20:BM20"/>
    <mergeCell ref="AM20:AR20"/>
    <mergeCell ref="B28:O28"/>
    <mergeCell ref="P28:BM28"/>
    <mergeCell ref="B29:O29"/>
    <mergeCell ref="P29:BM29"/>
    <mergeCell ref="B30:BE30"/>
    <mergeCell ref="BF30:BM30"/>
    <mergeCell ref="C25:BM25"/>
    <mergeCell ref="B26:E26"/>
    <mergeCell ref="F26:J26"/>
    <mergeCell ref="K26:O26"/>
    <mergeCell ref="P26:AK26"/>
    <mergeCell ref="AL26:AQ26"/>
    <mergeCell ref="AR26:BM26"/>
    <mergeCell ref="B27:O27"/>
    <mergeCell ref="P27:BM27"/>
  </mergeCells>
  <phoneticPr fontId="41"/>
  <dataValidations count="2">
    <dataValidation type="list" allowBlank="1" showInputMessage="1" showErrorMessage="1" sqref="AD11:AF20" xr:uid="{00000000-0002-0000-0F00-000000000000}">
      <formula1>"(選択),システム,ハードウェア,ソフトウェア,クラウド"</formula1>
    </dataValidation>
    <dataValidation type="list" allowBlank="1" showInputMessage="1" showErrorMessage="1" error="プルダウンより選択してください" prompt="プルダウンより選択してください" sqref="BF30:BM30" xr:uid="{00000000-0002-0000-0F00-000001000000}">
      <formula1>"選択してください,関連あり,関連なし"</formula1>
    </dataValidation>
  </dataValidations>
  <pageMargins left="0.7" right="0.7" top="0.75" bottom="0.75" header="0.3" footer="0.3"/>
  <pageSetup paperSize="9" scale="58"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79998168889431442"/>
  </sheetPr>
  <dimension ref="B1:BM22"/>
  <sheetViews>
    <sheetView view="pageBreakPreview" zoomScale="202" zoomScaleNormal="100" zoomScaleSheetLayoutView="202" workbookViewId="0">
      <selection activeCell="B17" sqref="B17:BL17"/>
    </sheetView>
  </sheetViews>
  <sheetFormatPr baseColWidth="10" defaultColWidth="2" defaultRowHeight="18"/>
  <cols>
    <col min="1" max="1" width="0.83203125" style="94" customWidth="1"/>
    <col min="2" max="90" width="2" style="94"/>
    <col min="91" max="91" width="0.83203125" style="94" customWidth="1"/>
    <col min="92" max="108" width="2" style="94"/>
    <col min="109" max="109" width="2" style="94" customWidth="1"/>
    <col min="110" max="16384" width="2" style="94"/>
  </cols>
  <sheetData>
    <row r="1" spans="2:65">
      <c r="B1" s="125" t="s">
        <v>468</v>
      </c>
      <c r="C1" s="91"/>
    </row>
    <row r="2" spans="2:65">
      <c r="B2" s="95"/>
      <c r="C2" s="94" t="s">
        <v>246</v>
      </c>
    </row>
    <row r="3" spans="2:65">
      <c r="B3" s="94" t="s">
        <v>310</v>
      </c>
      <c r="C3" s="96" t="s">
        <v>530</v>
      </c>
    </row>
    <row r="4" spans="2:65">
      <c r="B4" s="101" t="s">
        <v>311</v>
      </c>
      <c r="C4" s="96" t="s">
        <v>423</v>
      </c>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03" t="s">
        <v>247</v>
      </c>
      <c r="AN7" s="903"/>
      <c r="AO7" s="903"/>
      <c r="AP7" s="903"/>
      <c r="AQ7" s="903"/>
      <c r="AR7" s="903"/>
      <c r="AS7" s="903" t="s">
        <v>247</v>
      </c>
      <c r="AT7" s="903"/>
      <c r="AU7" s="903"/>
      <c r="AV7" s="903"/>
      <c r="AW7" s="903"/>
      <c r="AX7" s="903"/>
      <c r="AY7" s="903" t="s">
        <v>248</v>
      </c>
      <c r="AZ7" s="903"/>
      <c r="BA7" s="903"/>
      <c r="BB7" s="903"/>
      <c r="BC7" s="903"/>
      <c r="BD7" s="903"/>
      <c r="BE7" s="97"/>
      <c r="BF7" s="97"/>
      <c r="BG7" s="97"/>
      <c r="BH7" s="98"/>
      <c r="BI7" s="98"/>
      <c r="BJ7" s="97"/>
      <c r="BK7" s="97"/>
      <c r="BL7" s="97"/>
      <c r="BM7" s="99" t="s">
        <v>249</v>
      </c>
    </row>
    <row r="8" spans="2:65">
      <c r="B8" s="904" t="s">
        <v>250</v>
      </c>
      <c r="C8" s="891"/>
      <c r="D8" s="891"/>
      <c r="E8" s="892"/>
      <c r="F8" s="1008" t="s">
        <v>428</v>
      </c>
      <c r="G8" s="1009"/>
      <c r="H8" s="1009"/>
      <c r="I8" s="1009"/>
      <c r="J8" s="1009"/>
      <c r="K8" s="1009"/>
      <c r="L8" s="1009"/>
      <c r="M8" s="1009"/>
      <c r="N8" s="1009"/>
      <c r="O8" s="1010"/>
      <c r="P8" s="1008" t="s">
        <v>252</v>
      </c>
      <c r="Q8" s="1009"/>
      <c r="R8" s="1009"/>
      <c r="S8" s="1009"/>
      <c r="T8" s="1009"/>
      <c r="U8" s="1009"/>
      <c r="V8" s="1009"/>
      <c r="W8" s="1009"/>
      <c r="X8" s="1009"/>
      <c r="Y8" s="1009"/>
      <c r="Z8" s="1009"/>
      <c r="AA8" s="1009"/>
      <c r="AB8" s="1009"/>
      <c r="AC8" s="1010"/>
      <c r="AD8" s="904"/>
      <c r="AE8" s="891"/>
      <c r="AF8" s="892"/>
      <c r="AG8" s="904" t="s">
        <v>357</v>
      </c>
      <c r="AH8" s="891"/>
      <c r="AI8" s="891"/>
      <c r="AJ8" s="891"/>
      <c r="AK8" s="891"/>
      <c r="AL8" s="892"/>
      <c r="AM8" s="905" t="s">
        <v>255</v>
      </c>
      <c r="AN8" s="905"/>
      <c r="AO8" s="905"/>
      <c r="AP8" s="905"/>
      <c r="AQ8" s="905"/>
      <c r="AR8" s="905"/>
      <c r="AS8" s="904" t="s">
        <v>256</v>
      </c>
      <c r="AT8" s="891"/>
      <c r="AU8" s="891"/>
      <c r="AV8" s="891"/>
      <c r="AW8" s="891"/>
      <c r="AX8" s="892"/>
      <c r="AY8" s="904" t="s">
        <v>257</v>
      </c>
      <c r="AZ8" s="891"/>
      <c r="BA8" s="891"/>
      <c r="BB8" s="891"/>
      <c r="BC8" s="891"/>
      <c r="BD8" s="892"/>
      <c r="BE8" s="891" t="s">
        <v>258</v>
      </c>
      <c r="BF8" s="891"/>
      <c r="BG8" s="891"/>
      <c r="BH8" s="891"/>
      <c r="BI8" s="891"/>
      <c r="BJ8" s="891"/>
      <c r="BK8" s="891"/>
      <c r="BL8" s="891"/>
      <c r="BM8" s="892"/>
    </row>
    <row r="9" spans="2:65">
      <c r="B9" s="893" t="s">
        <v>259</v>
      </c>
      <c r="C9" s="894"/>
      <c r="D9" s="894"/>
      <c r="E9" s="895"/>
      <c r="F9" s="1004"/>
      <c r="G9" s="1005"/>
      <c r="H9" s="1005"/>
      <c r="I9" s="1005"/>
      <c r="J9" s="1005"/>
      <c r="K9" s="1005"/>
      <c r="L9" s="1005"/>
      <c r="M9" s="1005"/>
      <c r="N9" s="1005"/>
      <c r="O9" s="1006"/>
      <c r="P9" s="1007" t="s">
        <v>436</v>
      </c>
      <c r="Q9" s="1007"/>
      <c r="R9" s="1007"/>
      <c r="S9" s="1007"/>
      <c r="T9" s="1007"/>
      <c r="U9" s="1007"/>
      <c r="V9" s="1007"/>
      <c r="W9" s="1007"/>
      <c r="X9" s="1007"/>
      <c r="Y9" s="1007"/>
      <c r="Z9" s="1007"/>
      <c r="AA9" s="1007"/>
      <c r="AB9" s="1007"/>
      <c r="AC9" s="1007"/>
      <c r="AD9" s="899"/>
      <c r="AE9" s="899"/>
      <c r="AF9" s="899"/>
      <c r="AG9" s="899" t="s">
        <v>262</v>
      </c>
      <c r="AH9" s="899"/>
      <c r="AI9" s="899"/>
      <c r="AJ9" s="899"/>
      <c r="AK9" s="899"/>
      <c r="AL9" s="899"/>
      <c r="AM9" s="899" t="s">
        <v>263</v>
      </c>
      <c r="AN9" s="899"/>
      <c r="AO9" s="899"/>
      <c r="AP9" s="899"/>
      <c r="AQ9" s="899"/>
      <c r="AR9" s="899"/>
      <c r="AS9" s="899" t="s">
        <v>264</v>
      </c>
      <c r="AT9" s="899"/>
      <c r="AU9" s="899"/>
      <c r="AV9" s="899"/>
      <c r="AW9" s="899"/>
      <c r="AX9" s="899"/>
      <c r="AY9" s="899" t="s">
        <v>265</v>
      </c>
      <c r="AZ9" s="899"/>
      <c r="BA9" s="899"/>
      <c r="BB9" s="899"/>
      <c r="BC9" s="899"/>
      <c r="BD9" s="899"/>
      <c r="BE9" s="900" t="s">
        <v>266</v>
      </c>
      <c r="BF9" s="900"/>
      <c r="BG9" s="900"/>
      <c r="BH9" s="901" t="s">
        <v>267</v>
      </c>
      <c r="BI9" s="901"/>
      <c r="BJ9" s="901"/>
      <c r="BK9" s="902" t="s">
        <v>255</v>
      </c>
      <c r="BL9" s="902"/>
      <c r="BM9" s="902"/>
    </row>
    <row r="10" spans="2:65" ht="44" customHeight="1">
      <c r="B10" s="880" t="s">
        <v>358</v>
      </c>
      <c r="C10" s="881"/>
      <c r="D10" s="881"/>
      <c r="E10" s="881"/>
      <c r="F10" s="995" t="s">
        <v>684</v>
      </c>
      <c r="G10" s="934"/>
      <c r="H10" s="934"/>
      <c r="I10" s="934"/>
      <c r="J10" s="934"/>
      <c r="K10" s="934"/>
      <c r="L10" s="934"/>
      <c r="M10" s="934"/>
      <c r="N10" s="934"/>
      <c r="O10" s="934"/>
      <c r="P10" s="1105" t="s">
        <v>772</v>
      </c>
      <c r="Q10" s="1106"/>
      <c r="R10" s="1106"/>
      <c r="S10" s="1106"/>
      <c r="T10" s="1106"/>
      <c r="U10" s="1106"/>
      <c r="V10" s="1106"/>
      <c r="W10" s="1106"/>
      <c r="X10" s="1106"/>
      <c r="Y10" s="1106"/>
      <c r="Z10" s="1106"/>
      <c r="AA10" s="1106"/>
      <c r="AB10" s="1106"/>
      <c r="AC10" s="1106"/>
      <c r="AD10" s="884" t="s">
        <v>202</v>
      </c>
      <c r="AE10" s="884"/>
      <c r="AF10" s="884"/>
      <c r="AG10" s="885">
        <v>100</v>
      </c>
      <c r="AH10" s="885"/>
      <c r="AI10" s="885"/>
      <c r="AJ10" s="885"/>
      <c r="AK10" s="885"/>
      <c r="AL10" s="885"/>
      <c r="AM10" s="885">
        <v>15000</v>
      </c>
      <c r="AN10" s="885"/>
      <c r="AO10" s="885"/>
      <c r="AP10" s="885"/>
      <c r="AQ10" s="885"/>
      <c r="AR10" s="885"/>
      <c r="AS10" s="886">
        <f>IF(AM10="","",AG10*AM10)</f>
        <v>1500000</v>
      </c>
      <c r="AT10" s="886"/>
      <c r="AU10" s="886"/>
      <c r="AV10" s="886"/>
      <c r="AW10" s="886"/>
      <c r="AX10" s="886"/>
      <c r="AY10" s="886">
        <f>IF(AM10="","",ROUNDDOWN(AG10*AM10*1.1,0))</f>
        <v>1650000</v>
      </c>
      <c r="AZ10" s="886"/>
      <c r="BA10" s="886"/>
      <c r="BB10" s="886"/>
      <c r="BC10" s="886"/>
      <c r="BD10" s="886"/>
      <c r="BE10" s="878" t="str">
        <f>IF(AS10="","",IF(AS10&gt;=300000,"必要",""))</f>
        <v>必要</v>
      </c>
      <c r="BF10" s="878"/>
      <c r="BG10" s="878"/>
      <c r="BH10" s="878" t="str">
        <f>IF(AS10="","",IF(AS10&gt;=1000000,"必要",""))</f>
        <v>必要</v>
      </c>
      <c r="BI10" s="878"/>
      <c r="BJ10" s="878"/>
      <c r="BK10" s="879" t="str">
        <f>IF(AM10="","",IF(AM10&lt;100000,"×","〇"))</f>
        <v>×</v>
      </c>
      <c r="BL10" s="879"/>
      <c r="BM10" s="879"/>
    </row>
    <row r="11" spans="2:65" ht="32.25" customHeight="1">
      <c r="B11" s="881" t="s">
        <v>359</v>
      </c>
      <c r="C11" s="881"/>
      <c r="D11" s="881"/>
      <c r="E11" s="881"/>
      <c r="F11" s="934"/>
      <c r="G11" s="934"/>
      <c r="H11" s="934"/>
      <c r="I11" s="934"/>
      <c r="J11" s="934"/>
      <c r="K11" s="934"/>
      <c r="L11" s="934"/>
      <c r="M11" s="934"/>
      <c r="N11" s="934"/>
      <c r="O11" s="934"/>
      <c r="P11" s="934"/>
      <c r="Q11" s="934"/>
      <c r="R11" s="934"/>
      <c r="S11" s="934"/>
      <c r="T11" s="934"/>
      <c r="U11" s="934"/>
      <c r="V11" s="934"/>
      <c r="W11" s="934"/>
      <c r="X11" s="934"/>
      <c r="Y11" s="934"/>
      <c r="Z11" s="934"/>
      <c r="AA11" s="934"/>
      <c r="AB11" s="934"/>
      <c r="AC11" s="934"/>
      <c r="AD11" s="884" t="s">
        <v>202</v>
      </c>
      <c r="AE11" s="884"/>
      <c r="AF11" s="884"/>
      <c r="AG11" s="885"/>
      <c r="AH11" s="885"/>
      <c r="AI11" s="885"/>
      <c r="AJ11" s="885"/>
      <c r="AK11" s="885"/>
      <c r="AL11" s="885"/>
      <c r="AM11" s="885"/>
      <c r="AN11" s="885"/>
      <c r="AO11" s="885"/>
      <c r="AP11" s="885"/>
      <c r="AQ11" s="885"/>
      <c r="AR11" s="885"/>
      <c r="AS11" s="886" t="str">
        <f>IF(AM11="","",AG11*AM11)</f>
        <v/>
      </c>
      <c r="AT11" s="886"/>
      <c r="AU11" s="886"/>
      <c r="AV11" s="886"/>
      <c r="AW11" s="886"/>
      <c r="AX11" s="886"/>
      <c r="AY11" s="886" t="str">
        <f>IF(AM11="","",ROUNDDOWN(AG11*AM11*1.1,0))</f>
        <v/>
      </c>
      <c r="AZ11" s="886"/>
      <c r="BA11" s="886"/>
      <c r="BB11" s="886"/>
      <c r="BC11" s="886"/>
      <c r="BD11" s="886"/>
      <c r="BE11" s="878" t="str">
        <f>IF(AS11="","",IF(AS11&gt;=300000,"必要",""))</f>
        <v/>
      </c>
      <c r="BF11" s="878"/>
      <c r="BG11" s="878"/>
      <c r="BH11" s="878" t="str">
        <f>IF(AS11="","",IF(AS11&gt;=1000000,"必要",""))</f>
        <v/>
      </c>
      <c r="BI11" s="878"/>
      <c r="BJ11" s="878"/>
      <c r="BK11" s="879" t="str">
        <f>IF(AM11="","",IF(AM11&lt;100000,"×","〇"))</f>
        <v/>
      </c>
      <c r="BL11" s="879"/>
      <c r="BM11" s="879"/>
    </row>
    <row r="12" spans="2:65" ht="32.25" customHeight="1">
      <c r="B12" s="881" t="s">
        <v>360</v>
      </c>
      <c r="C12" s="881"/>
      <c r="D12" s="881"/>
      <c r="E12" s="881"/>
      <c r="F12" s="934"/>
      <c r="G12" s="934"/>
      <c r="H12" s="934"/>
      <c r="I12" s="934"/>
      <c r="J12" s="934"/>
      <c r="K12" s="934"/>
      <c r="L12" s="934"/>
      <c r="M12" s="934"/>
      <c r="N12" s="934"/>
      <c r="O12" s="934"/>
      <c r="P12" s="934"/>
      <c r="Q12" s="934"/>
      <c r="R12" s="934"/>
      <c r="S12" s="934"/>
      <c r="T12" s="934"/>
      <c r="U12" s="934"/>
      <c r="V12" s="934"/>
      <c r="W12" s="934"/>
      <c r="X12" s="934"/>
      <c r="Y12" s="934"/>
      <c r="Z12" s="934"/>
      <c r="AA12" s="934"/>
      <c r="AB12" s="934"/>
      <c r="AC12" s="934"/>
      <c r="AD12" s="884" t="s">
        <v>202</v>
      </c>
      <c r="AE12" s="884"/>
      <c r="AF12" s="884"/>
      <c r="AG12" s="885"/>
      <c r="AH12" s="885"/>
      <c r="AI12" s="885"/>
      <c r="AJ12" s="885"/>
      <c r="AK12" s="885"/>
      <c r="AL12" s="885"/>
      <c r="AM12" s="885"/>
      <c r="AN12" s="885"/>
      <c r="AO12" s="885"/>
      <c r="AP12" s="885"/>
      <c r="AQ12" s="885"/>
      <c r="AR12" s="885"/>
      <c r="AS12" s="886" t="str">
        <f>IF(AM12="","",AG12*AM12)</f>
        <v/>
      </c>
      <c r="AT12" s="886"/>
      <c r="AU12" s="886"/>
      <c r="AV12" s="886"/>
      <c r="AW12" s="886"/>
      <c r="AX12" s="886"/>
      <c r="AY12" s="886" t="str">
        <f>IF(AM12="","",ROUNDDOWN(AG12*AM12*1.1,0))</f>
        <v/>
      </c>
      <c r="AZ12" s="886"/>
      <c r="BA12" s="886"/>
      <c r="BB12" s="886"/>
      <c r="BC12" s="886"/>
      <c r="BD12" s="886"/>
      <c r="BE12" s="878" t="str">
        <f>IF(AS12="","",IF(AS12&gt;=300000,"必要",""))</f>
        <v/>
      </c>
      <c r="BF12" s="878"/>
      <c r="BG12" s="878"/>
      <c r="BH12" s="878" t="str">
        <f>IF(AS12="","",IF(AS12&gt;=1000000,"必要",""))</f>
        <v/>
      </c>
      <c r="BI12" s="878"/>
      <c r="BJ12" s="878"/>
      <c r="BK12" s="879" t="str">
        <f>IF(AM12="","",IF(AM12&lt;100000,"×","〇"))</f>
        <v/>
      </c>
      <c r="BL12" s="879"/>
      <c r="BM12" s="879"/>
    </row>
    <row r="13" spans="2:65" ht="32.25" customHeight="1">
      <c r="B13" s="881" t="s">
        <v>361</v>
      </c>
      <c r="C13" s="881"/>
      <c r="D13" s="881"/>
      <c r="E13" s="881"/>
      <c r="F13" s="934"/>
      <c r="G13" s="934"/>
      <c r="H13" s="934"/>
      <c r="I13" s="934"/>
      <c r="J13" s="934"/>
      <c r="K13" s="934"/>
      <c r="L13" s="934"/>
      <c r="M13" s="934"/>
      <c r="N13" s="934"/>
      <c r="O13" s="934"/>
      <c r="P13" s="934"/>
      <c r="Q13" s="934"/>
      <c r="R13" s="934"/>
      <c r="S13" s="934"/>
      <c r="T13" s="934"/>
      <c r="U13" s="934"/>
      <c r="V13" s="934"/>
      <c r="W13" s="934"/>
      <c r="X13" s="934"/>
      <c r="Y13" s="934"/>
      <c r="Z13" s="934"/>
      <c r="AA13" s="934"/>
      <c r="AB13" s="934"/>
      <c r="AC13" s="934"/>
      <c r="AD13" s="884" t="s">
        <v>202</v>
      </c>
      <c r="AE13" s="884"/>
      <c r="AF13" s="884"/>
      <c r="AG13" s="885"/>
      <c r="AH13" s="885"/>
      <c r="AI13" s="885"/>
      <c r="AJ13" s="885"/>
      <c r="AK13" s="885"/>
      <c r="AL13" s="885"/>
      <c r="AM13" s="885"/>
      <c r="AN13" s="885"/>
      <c r="AO13" s="885"/>
      <c r="AP13" s="885"/>
      <c r="AQ13" s="885"/>
      <c r="AR13" s="885"/>
      <c r="AS13" s="886" t="str">
        <f>IF(AM13="","",AG13*AM13)</f>
        <v/>
      </c>
      <c r="AT13" s="886"/>
      <c r="AU13" s="886"/>
      <c r="AV13" s="886"/>
      <c r="AW13" s="886"/>
      <c r="AX13" s="886"/>
      <c r="AY13" s="886" t="str">
        <f>IF(AM13="","",ROUNDDOWN(AG13*AM13*1.1,0))</f>
        <v/>
      </c>
      <c r="AZ13" s="886"/>
      <c r="BA13" s="886"/>
      <c r="BB13" s="886"/>
      <c r="BC13" s="886"/>
      <c r="BD13" s="886"/>
      <c r="BE13" s="878" t="str">
        <f>IF(AS13="","",IF(AS13&gt;=300000,"必要",""))</f>
        <v/>
      </c>
      <c r="BF13" s="878"/>
      <c r="BG13" s="878"/>
      <c r="BH13" s="878" t="str">
        <f>IF(AS13="","",IF(AS13&gt;=1000000,"必要",""))</f>
        <v/>
      </c>
      <c r="BI13" s="878"/>
      <c r="BJ13" s="878"/>
      <c r="BK13" s="879" t="str">
        <f>IF(AM13="","",IF(AM13&lt;100000,"×","〇"))</f>
        <v/>
      </c>
      <c r="BL13" s="879"/>
      <c r="BM13" s="879"/>
    </row>
    <row r="14" spans="2:65" ht="32.25" customHeight="1">
      <c r="B14" s="881" t="s">
        <v>362</v>
      </c>
      <c r="C14" s="881"/>
      <c r="D14" s="881"/>
      <c r="E14" s="881"/>
      <c r="F14" s="934"/>
      <c r="G14" s="934"/>
      <c r="H14" s="934"/>
      <c r="I14" s="934"/>
      <c r="J14" s="934"/>
      <c r="K14" s="934"/>
      <c r="L14" s="934"/>
      <c r="M14" s="934"/>
      <c r="N14" s="934"/>
      <c r="O14" s="934"/>
      <c r="P14" s="934"/>
      <c r="Q14" s="934"/>
      <c r="R14" s="934"/>
      <c r="S14" s="934"/>
      <c r="T14" s="934"/>
      <c r="U14" s="934"/>
      <c r="V14" s="934"/>
      <c r="W14" s="934"/>
      <c r="X14" s="934"/>
      <c r="Y14" s="934"/>
      <c r="Z14" s="934"/>
      <c r="AA14" s="934"/>
      <c r="AB14" s="934"/>
      <c r="AC14" s="934"/>
      <c r="AD14" s="884" t="s">
        <v>202</v>
      </c>
      <c r="AE14" s="884"/>
      <c r="AF14" s="884"/>
      <c r="AG14" s="885"/>
      <c r="AH14" s="885"/>
      <c r="AI14" s="885"/>
      <c r="AJ14" s="885"/>
      <c r="AK14" s="885"/>
      <c r="AL14" s="885"/>
      <c r="AM14" s="885"/>
      <c r="AN14" s="885"/>
      <c r="AO14" s="885"/>
      <c r="AP14" s="885"/>
      <c r="AQ14" s="885"/>
      <c r="AR14" s="885"/>
      <c r="AS14" s="886" t="str">
        <f>IF(AM14="","",AG14*AM14)</f>
        <v/>
      </c>
      <c r="AT14" s="886"/>
      <c r="AU14" s="886"/>
      <c r="AV14" s="886"/>
      <c r="AW14" s="886"/>
      <c r="AX14" s="886"/>
      <c r="AY14" s="886" t="str">
        <f>IF(AM14="","",ROUNDDOWN(AG14*AM14*1.1,0))</f>
        <v/>
      </c>
      <c r="AZ14" s="886"/>
      <c r="BA14" s="886"/>
      <c r="BB14" s="886"/>
      <c r="BC14" s="886"/>
      <c r="BD14" s="886"/>
      <c r="BE14" s="878" t="str">
        <f>IF(AS14="","",IF(AS14&gt;=300000,"必要",""))</f>
        <v/>
      </c>
      <c r="BF14" s="878"/>
      <c r="BG14" s="878"/>
      <c r="BH14" s="878" t="str">
        <f>IF(AS14="","",IF(AS14&gt;=1000000,"必要",""))</f>
        <v/>
      </c>
      <c r="BI14" s="878"/>
      <c r="BJ14" s="878"/>
      <c r="BK14" s="879" t="str">
        <f>IF(AM14="","",IF(AM14&lt;100000,"×","〇"))</f>
        <v/>
      </c>
      <c r="BL14" s="879"/>
      <c r="BM14" s="879"/>
    </row>
    <row r="15" spans="2:65" ht="32.25" customHeight="1">
      <c r="AM15" s="887" t="s">
        <v>34</v>
      </c>
      <c r="AN15" s="887"/>
      <c r="AO15" s="887"/>
      <c r="AP15" s="887"/>
      <c r="AQ15" s="887"/>
      <c r="AR15" s="888"/>
      <c r="AS15" s="889">
        <f>SUM(AS10:AX14)</f>
        <v>1500000</v>
      </c>
      <c r="AT15" s="889"/>
      <c r="AU15" s="889"/>
      <c r="AV15" s="889"/>
      <c r="AW15" s="889"/>
      <c r="AX15" s="889"/>
      <c r="AY15" s="889">
        <f>SUM(AY10:BD14)</f>
        <v>1650000</v>
      </c>
      <c r="AZ15" s="889"/>
      <c r="BA15" s="889"/>
      <c r="BB15" s="889"/>
      <c r="BC15" s="889"/>
      <c r="BD15" s="889"/>
    </row>
    <row r="16" spans="2:65">
      <c r="B16" s="126" t="s">
        <v>363</v>
      </c>
      <c r="C16" s="126"/>
      <c r="D16" s="126"/>
      <c r="E16" s="126"/>
      <c r="F16" s="126"/>
      <c r="G16" s="126"/>
      <c r="H16" s="126"/>
      <c r="I16" s="126"/>
      <c r="J16" s="126"/>
      <c r="K16" s="126"/>
      <c r="L16" s="126"/>
      <c r="M16" s="126"/>
      <c r="N16" s="126"/>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c r="BJ16" s="126"/>
      <c r="BK16" s="126"/>
      <c r="BL16" s="126"/>
      <c r="BM16" s="126"/>
    </row>
    <row r="17" spans="2:65">
      <c r="B17" s="1003" t="s">
        <v>364</v>
      </c>
      <c r="C17" s="1003"/>
      <c r="D17" s="1003"/>
      <c r="E17" s="1003"/>
      <c r="F17" s="1003"/>
      <c r="G17" s="1003"/>
      <c r="H17" s="1003"/>
      <c r="I17" s="1003"/>
      <c r="J17" s="1003"/>
      <c r="K17" s="1003"/>
      <c r="L17" s="1003"/>
      <c r="M17" s="1003"/>
      <c r="N17" s="1003"/>
      <c r="O17" s="1003"/>
      <c r="P17" s="1003"/>
      <c r="Q17" s="1003"/>
      <c r="R17" s="1003"/>
      <c r="S17" s="1003"/>
      <c r="T17" s="1003"/>
      <c r="U17" s="1003"/>
      <c r="V17" s="1003"/>
      <c r="W17" s="1003"/>
      <c r="X17" s="1003"/>
      <c r="Y17" s="1003"/>
      <c r="Z17" s="1003"/>
      <c r="AA17" s="1003"/>
      <c r="AB17" s="1003"/>
      <c r="AC17" s="1003"/>
      <c r="AD17" s="1003"/>
      <c r="AE17" s="1003"/>
      <c r="AF17" s="1003"/>
      <c r="AG17" s="1003"/>
      <c r="AH17" s="1003"/>
      <c r="AI17" s="1003"/>
      <c r="AJ17" s="1003"/>
      <c r="AK17" s="1003"/>
      <c r="AL17" s="1003"/>
      <c r="AM17" s="1003"/>
      <c r="AN17" s="1003"/>
      <c r="AO17" s="1003"/>
      <c r="AP17" s="1003"/>
      <c r="AQ17" s="1003"/>
      <c r="AR17" s="1003"/>
      <c r="AS17" s="1003"/>
      <c r="AT17" s="1003"/>
      <c r="AU17" s="1003"/>
      <c r="AV17" s="1003"/>
      <c r="AW17" s="1003"/>
      <c r="AX17" s="1003"/>
      <c r="AY17" s="1003"/>
      <c r="AZ17" s="1003"/>
      <c r="BA17" s="1003"/>
      <c r="BB17" s="1003"/>
      <c r="BC17" s="1003"/>
      <c r="BD17" s="1003"/>
      <c r="BE17" s="1003"/>
      <c r="BF17" s="1003"/>
      <c r="BG17" s="1003"/>
      <c r="BH17" s="1003"/>
      <c r="BI17" s="1003"/>
      <c r="BJ17" s="1003"/>
      <c r="BK17" s="1003"/>
      <c r="BL17" s="1003"/>
      <c r="BM17" s="126"/>
    </row>
    <row r="18" spans="2:65" ht="23.5" customHeight="1">
      <c r="B18" s="178" t="s">
        <v>304</v>
      </c>
      <c r="C18" s="178"/>
      <c r="D18" s="178"/>
      <c r="E18" s="178"/>
      <c r="F18" s="1014" t="s">
        <v>685</v>
      </c>
      <c r="G18" s="1015"/>
      <c r="H18" s="1015"/>
      <c r="I18" s="1015"/>
      <c r="J18" s="1016"/>
      <c r="K18" s="1011" t="s">
        <v>437</v>
      </c>
      <c r="L18" s="1012"/>
      <c r="M18" s="1012"/>
      <c r="N18" s="1012"/>
      <c r="O18" s="1013"/>
      <c r="P18" s="1014" t="s">
        <v>684</v>
      </c>
      <c r="Q18" s="1015"/>
      <c r="R18" s="1015"/>
      <c r="S18" s="1015"/>
      <c r="T18" s="1015"/>
      <c r="U18" s="1015"/>
      <c r="V18" s="1015"/>
      <c r="W18" s="1015"/>
      <c r="X18" s="1015"/>
      <c r="Y18" s="1015"/>
      <c r="Z18" s="1015"/>
      <c r="AA18" s="1015"/>
      <c r="AB18" s="1015"/>
      <c r="AC18" s="1015"/>
      <c r="AD18" s="1015"/>
      <c r="AE18" s="1015"/>
      <c r="AF18" s="1015"/>
      <c r="AG18" s="1015"/>
      <c r="AH18" s="1015"/>
      <c r="AI18" s="1015"/>
      <c r="AJ18" s="1015"/>
      <c r="AK18" s="1015"/>
      <c r="AL18" s="1015"/>
      <c r="AM18" s="1015"/>
      <c r="AN18" s="1015"/>
      <c r="AO18" s="1015"/>
      <c r="AP18" s="1015"/>
      <c r="AQ18" s="1015"/>
      <c r="AR18" s="1015"/>
      <c r="AS18" s="1015"/>
      <c r="AT18" s="1015"/>
      <c r="AU18" s="1015"/>
      <c r="AV18" s="1015"/>
      <c r="AW18" s="1015"/>
      <c r="AX18" s="1015"/>
      <c r="AY18" s="1015"/>
      <c r="AZ18" s="1015"/>
      <c r="BA18" s="1015"/>
      <c r="BB18" s="1015"/>
      <c r="BC18" s="1015"/>
      <c r="BD18" s="1015"/>
      <c r="BE18" s="1015"/>
      <c r="BF18" s="1015"/>
      <c r="BG18" s="1015"/>
      <c r="BH18" s="1015"/>
      <c r="BI18" s="1015"/>
      <c r="BJ18" s="1015"/>
      <c r="BK18" s="1015"/>
      <c r="BL18" s="1015"/>
      <c r="BM18" s="1016"/>
    </row>
    <row r="19" spans="2:65" ht="23.5" customHeight="1">
      <c r="B19" s="1011" t="s">
        <v>365</v>
      </c>
      <c r="C19" s="1012"/>
      <c r="D19" s="1012"/>
      <c r="E19" s="1012"/>
      <c r="F19" s="1012"/>
      <c r="G19" s="1012"/>
      <c r="H19" s="1012"/>
      <c r="I19" s="1012"/>
      <c r="J19" s="1012"/>
      <c r="K19" s="1012"/>
      <c r="L19" s="1012"/>
      <c r="M19" s="1012"/>
      <c r="N19" s="1012"/>
      <c r="O19" s="1013"/>
      <c r="P19" s="1107" t="s">
        <v>771</v>
      </c>
      <c r="Q19" s="1108"/>
      <c r="R19" s="1108"/>
      <c r="S19" s="1108"/>
      <c r="T19" s="1108"/>
      <c r="U19" s="1108"/>
      <c r="V19" s="1108"/>
      <c r="W19" s="1108"/>
      <c r="X19" s="1108"/>
      <c r="Y19" s="1108"/>
      <c r="Z19" s="1108"/>
      <c r="AA19" s="1108"/>
      <c r="AB19" s="1108"/>
      <c r="AC19" s="1108"/>
      <c r="AD19" s="1108"/>
      <c r="AE19" s="1108"/>
      <c r="AF19" s="1108"/>
      <c r="AG19" s="1108"/>
      <c r="AH19" s="1108"/>
      <c r="AI19" s="1108"/>
      <c r="AJ19" s="1108"/>
      <c r="AK19" s="1108"/>
      <c r="AL19" s="1108"/>
      <c r="AM19" s="1108"/>
      <c r="AN19" s="1108"/>
      <c r="AO19" s="1108"/>
      <c r="AP19" s="1108"/>
      <c r="AQ19" s="1108"/>
      <c r="AR19" s="1108"/>
      <c r="AS19" s="1108"/>
      <c r="AT19" s="1108"/>
      <c r="AU19" s="1108"/>
      <c r="AV19" s="1108"/>
      <c r="AW19" s="1108"/>
      <c r="AX19" s="1108"/>
      <c r="AY19" s="1108"/>
      <c r="AZ19" s="1108"/>
      <c r="BA19" s="1108"/>
      <c r="BB19" s="1108"/>
      <c r="BC19" s="1108"/>
      <c r="BD19" s="1108"/>
      <c r="BE19" s="1108"/>
      <c r="BF19" s="1108"/>
      <c r="BG19" s="1108"/>
      <c r="BH19" s="1108"/>
      <c r="BI19" s="1108"/>
      <c r="BJ19" s="1108"/>
      <c r="BK19" s="1108"/>
      <c r="BL19" s="1108"/>
      <c r="BM19" s="1109"/>
    </row>
    <row r="20" spans="2:65" ht="23.5" customHeight="1">
      <c r="B20" s="1011" t="s">
        <v>367</v>
      </c>
      <c r="C20" s="1012"/>
      <c r="D20" s="1012"/>
      <c r="E20" s="1012"/>
      <c r="F20" s="1012"/>
      <c r="G20" s="1012"/>
      <c r="H20" s="1012"/>
      <c r="I20" s="1012"/>
      <c r="J20" s="1012"/>
      <c r="K20" s="1012"/>
      <c r="L20" s="1012"/>
      <c r="M20" s="1012"/>
      <c r="N20" s="1012"/>
      <c r="O20" s="1013"/>
      <c r="P20" s="1102" t="s">
        <v>686</v>
      </c>
      <c r="Q20" s="1103"/>
      <c r="R20" s="1103"/>
      <c r="S20" s="1103"/>
      <c r="T20" s="1103"/>
      <c r="U20" s="1103"/>
      <c r="V20" s="1103"/>
      <c r="W20" s="1103"/>
      <c r="X20" s="1103"/>
      <c r="Y20" s="1103"/>
      <c r="Z20" s="1103"/>
      <c r="AA20" s="1103"/>
      <c r="AB20" s="1103"/>
      <c r="AC20" s="1103"/>
      <c r="AD20" s="1103"/>
      <c r="AE20" s="1103"/>
      <c r="AF20" s="1103"/>
      <c r="AG20" s="1103"/>
      <c r="AH20" s="1103"/>
      <c r="AI20" s="1103"/>
      <c r="AJ20" s="1103"/>
      <c r="AK20" s="1103"/>
      <c r="AL20" s="1103"/>
      <c r="AM20" s="1103"/>
      <c r="AN20" s="1103"/>
      <c r="AO20" s="1103"/>
      <c r="AP20" s="1103"/>
      <c r="AQ20" s="1103"/>
      <c r="AR20" s="1103"/>
      <c r="AS20" s="1103"/>
      <c r="AT20" s="1103"/>
      <c r="AU20" s="1103"/>
      <c r="AV20" s="1103"/>
      <c r="AW20" s="1103"/>
      <c r="AX20" s="1103"/>
      <c r="AY20" s="1103"/>
      <c r="AZ20" s="1103"/>
      <c r="BA20" s="1103"/>
      <c r="BB20" s="1103"/>
      <c r="BC20" s="1103"/>
      <c r="BD20" s="1103"/>
      <c r="BE20" s="1103"/>
      <c r="BF20" s="1103"/>
      <c r="BG20" s="1103"/>
      <c r="BH20" s="1103"/>
      <c r="BI20" s="1103"/>
      <c r="BJ20" s="1103"/>
      <c r="BK20" s="1103"/>
      <c r="BL20" s="1103"/>
      <c r="BM20" s="1104"/>
    </row>
    <row r="21" spans="2:65" ht="23.5" customHeight="1">
      <c r="B21" s="1011" t="s">
        <v>366</v>
      </c>
      <c r="C21" s="1012"/>
      <c r="D21" s="1012"/>
      <c r="E21" s="1012"/>
      <c r="F21" s="1012"/>
      <c r="G21" s="1012"/>
      <c r="H21" s="1012"/>
      <c r="I21" s="1012"/>
      <c r="J21" s="1012"/>
      <c r="K21" s="1012"/>
      <c r="L21" s="1012"/>
      <c r="M21" s="1012"/>
      <c r="N21" s="1012"/>
      <c r="O21" s="1013"/>
      <c r="P21" s="1014" t="s">
        <v>773</v>
      </c>
      <c r="Q21" s="1015"/>
      <c r="R21" s="1015"/>
      <c r="S21" s="1015"/>
      <c r="T21" s="1015"/>
      <c r="U21" s="1015"/>
      <c r="V21" s="1015"/>
      <c r="W21" s="1015"/>
      <c r="X21" s="1015"/>
      <c r="Y21" s="1015"/>
      <c r="Z21" s="1015"/>
      <c r="AA21" s="1015"/>
      <c r="AB21" s="1015"/>
      <c r="AC21" s="1015"/>
      <c r="AD21" s="1015"/>
      <c r="AE21" s="1015"/>
      <c r="AF21" s="1015"/>
      <c r="AG21" s="1015"/>
      <c r="AH21" s="1015"/>
      <c r="AI21" s="1015"/>
      <c r="AJ21" s="1015"/>
      <c r="AK21" s="1015"/>
      <c r="AL21" s="1015"/>
      <c r="AM21" s="1015"/>
      <c r="AN21" s="1015"/>
      <c r="AO21" s="1015"/>
      <c r="AP21" s="1015"/>
      <c r="AQ21" s="1015"/>
      <c r="AR21" s="1015"/>
      <c r="AS21" s="1015"/>
      <c r="AT21" s="1015"/>
      <c r="AU21" s="1015"/>
      <c r="AV21" s="1015"/>
      <c r="AW21" s="1015"/>
      <c r="AX21" s="1015"/>
      <c r="AY21" s="1015"/>
      <c r="AZ21" s="1015"/>
      <c r="BA21" s="1015"/>
      <c r="BB21" s="1015"/>
      <c r="BC21" s="1015"/>
      <c r="BD21" s="1015"/>
      <c r="BE21" s="1015"/>
      <c r="BF21" s="1015"/>
      <c r="BG21" s="1015"/>
      <c r="BH21" s="1015"/>
      <c r="BI21" s="1015"/>
      <c r="BJ21" s="1015"/>
      <c r="BK21" s="1015"/>
      <c r="BL21" s="1015"/>
      <c r="BM21" s="1016"/>
    </row>
    <row r="22" spans="2:65" ht="23.5" customHeight="1">
      <c r="B22" s="1002" t="s">
        <v>368</v>
      </c>
      <c r="C22" s="1002"/>
      <c r="D22" s="1002"/>
      <c r="E22" s="1002"/>
      <c r="F22" s="1002"/>
      <c r="G22" s="1002"/>
      <c r="H22" s="1002"/>
      <c r="I22" s="1002"/>
      <c r="J22" s="1002"/>
      <c r="K22" s="1002"/>
      <c r="L22" s="1002"/>
      <c r="M22" s="1002"/>
      <c r="N22" s="1002"/>
      <c r="O22" s="1002"/>
      <c r="P22" s="1002"/>
      <c r="Q22" s="1002"/>
      <c r="R22" s="1002"/>
      <c r="S22" s="1002"/>
      <c r="T22" s="1002"/>
      <c r="U22" s="1002"/>
      <c r="V22" s="1002"/>
      <c r="W22" s="1002"/>
      <c r="X22" s="1002"/>
      <c r="Y22" s="1002"/>
      <c r="Z22" s="1002"/>
      <c r="AA22" s="1002"/>
      <c r="AB22" s="1002"/>
      <c r="AC22" s="1002"/>
      <c r="AD22" s="1002"/>
      <c r="AE22" s="1002"/>
      <c r="AF22" s="1002"/>
      <c r="AG22" s="1002"/>
      <c r="AH22" s="1002"/>
      <c r="AI22" s="1002"/>
      <c r="AJ22" s="1002"/>
      <c r="AK22" s="1002"/>
      <c r="AL22" s="1002"/>
      <c r="AM22" s="1002"/>
      <c r="AN22" s="1002"/>
      <c r="AO22" s="1002"/>
      <c r="AP22" s="1002"/>
      <c r="AQ22" s="1002"/>
      <c r="AR22" s="1002"/>
      <c r="AS22" s="1002"/>
      <c r="AT22" s="1002"/>
      <c r="AU22" s="1002"/>
      <c r="AV22" s="1002"/>
      <c r="AW22" s="1002"/>
      <c r="AX22" s="1002"/>
      <c r="AY22" s="1002"/>
      <c r="AZ22" s="1002"/>
      <c r="BA22" s="1002"/>
      <c r="BB22" s="1002"/>
      <c r="BC22" s="1002"/>
      <c r="BD22" s="1002"/>
      <c r="BE22" s="1002"/>
      <c r="BF22" s="907" t="s">
        <v>681</v>
      </c>
      <c r="BG22" s="907"/>
      <c r="BH22" s="907"/>
      <c r="BI22" s="907"/>
      <c r="BJ22" s="907"/>
      <c r="BK22" s="907"/>
      <c r="BL22" s="907"/>
      <c r="BM22" s="907"/>
    </row>
  </sheetData>
  <mergeCells count="93">
    <mergeCell ref="AY10:BD10"/>
    <mergeCell ref="BE10:BG10"/>
    <mergeCell ref="BH10:BJ10"/>
    <mergeCell ref="BK10:BM10"/>
    <mergeCell ref="AM11:AR11"/>
    <mergeCell ref="AM10:AR10"/>
    <mergeCell ref="AS10:AX10"/>
    <mergeCell ref="AS11:AX11"/>
    <mergeCell ref="AY11:BD11"/>
    <mergeCell ref="BE11:BG11"/>
    <mergeCell ref="BH11:BJ11"/>
    <mergeCell ref="BK11:BM11"/>
    <mergeCell ref="K18:O18"/>
    <mergeCell ref="P18:BM18"/>
    <mergeCell ref="F18:J18"/>
    <mergeCell ref="AM12:AR12"/>
    <mergeCell ref="AS12:AX12"/>
    <mergeCell ref="AY12:BD12"/>
    <mergeCell ref="BE12:BG12"/>
    <mergeCell ref="BH12:BJ12"/>
    <mergeCell ref="BK12:BM12"/>
    <mergeCell ref="BE14:BG14"/>
    <mergeCell ref="BH14:BJ14"/>
    <mergeCell ref="B19:O19"/>
    <mergeCell ref="B21:O21"/>
    <mergeCell ref="B20:O20"/>
    <mergeCell ref="P19:BM19"/>
    <mergeCell ref="P21:BM21"/>
    <mergeCell ref="P20:BM20"/>
    <mergeCell ref="AM7:AR7"/>
    <mergeCell ref="AS7:AX7"/>
    <mergeCell ref="AY7:BD7"/>
    <mergeCell ref="B8:E8"/>
    <mergeCell ref="AD8:AF8"/>
    <mergeCell ref="AG8:AL8"/>
    <mergeCell ref="AM8:AR8"/>
    <mergeCell ref="AS8:AX8"/>
    <mergeCell ref="AY8:BD8"/>
    <mergeCell ref="F8:O8"/>
    <mergeCell ref="P8:AC8"/>
    <mergeCell ref="B12:E12"/>
    <mergeCell ref="F12:O12"/>
    <mergeCell ref="P12:AC12"/>
    <mergeCell ref="AD12:AF12"/>
    <mergeCell ref="AG12:AL12"/>
    <mergeCell ref="BE8:BM8"/>
    <mergeCell ref="B9:E9"/>
    <mergeCell ref="AD9:AF9"/>
    <mergeCell ref="AG9:AL9"/>
    <mergeCell ref="AM9:AR9"/>
    <mergeCell ref="AS9:AX9"/>
    <mergeCell ref="AY9:BD9"/>
    <mergeCell ref="BE9:BG9"/>
    <mergeCell ref="BH9:BJ9"/>
    <mergeCell ref="BK9:BM9"/>
    <mergeCell ref="F9:O9"/>
    <mergeCell ref="P9:AC9"/>
    <mergeCell ref="B11:E11"/>
    <mergeCell ref="F11:O11"/>
    <mergeCell ref="P11:AC11"/>
    <mergeCell ref="AD11:AF11"/>
    <mergeCell ref="AG11:AL11"/>
    <mergeCell ref="B10:E10"/>
    <mergeCell ref="F10:O10"/>
    <mergeCell ref="P10:AC10"/>
    <mergeCell ref="AD10:AF10"/>
    <mergeCell ref="AG10:AL10"/>
    <mergeCell ref="B13:E13"/>
    <mergeCell ref="F13:O13"/>
    <mergeCell ref="P13:AC13"/>
    <mergeCell ref="AD13:AF13"/>
    <mergeCell ref="AG13:AL13"/>
    <mergeCell ref="B14:E14"/>
    <mergeCell ref="F14:O14"/>
    <mergeCell ref="P14:AC14"/>
    <mergeCell ref="AD14:AF14"/>
    <mergeCell ref="AG14:AL14"/>
    <mergeCell ref="B22:BE22"/>
    <mergeCell ref="BF22:BM22"/>
    <mergeCell ref="AM13:AR13"/>
    <mergeCell ref="AM15:AR15"/>
    <mergeCell ref="AS15:AX15"/>
    <mergeCell ref="AY15:BD15"/>
    <mergeCell ref="B17:BL17"/>
    <mergeCell ref="BK14:BM14"/>
    <mergeCell ref="AS13:AX13"/>
    <mergeCell ref="AY13:BD13"/>
    <mergeCell ref="BE13:BG13"/>
    <mergeCell ref="BH13:BJ13"/>
    <mergeCell ref="BK13:BM13"/>
    <mergeCell ref="AM14:AR14"/>
    <mergeCell ref="AS14:AX14"/>
    <mergeCell ref="AY14:BD14"/>
  </mergeCells>
  <phoneticPr fontId="41"/>
  <dataValidations count="2">
    <dataValidation type="list" allowBlank="1" showInputMessage="1" showErrorMessage="1" sqref="AD10:AD14" xr:uid="{00000000-0002-0000-1000-000000000000}">
      <formula1>"(選択),購入,リース,レンタル"</formula1>
    </dataValidation>
    <dataValidation type="list" allowBlank="1" showInputMessage="1" showErrorMessage="1" error="プルダウンより選択してください" prompt="プルダウンより選択してください" sqref="BF22:BM22" xr:uid="{00000000-0002-0000-1000-000001000000}">
      <formula1>"選択してください,関連あり,関連なし"</formula1>
    </dataValidation>
  </dataValidations>
  <pageMargins left="0.7" right="0.7" top="0.75" bottom="0.75" header="0.3" footer="0.3"/>
  <pageSetup paperSize="9" scale="58"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79998168889431442"/>
  </sheetPr>
  <dimension ref="B1:BM24"/>
  <sheetViews>
    <sheetView view="pageBreakPreview" zoomScale="218" zoomScaleNormal="100" zoomScaleSheetLayoutView="218" workbookViewId="0">
      <selection activeCell="B10" sqref="B10:E10"/>
    </sheetView>
  </sheetViews>
  <sheetFormatPr baseColWidth="10" defaultColWidth="2" defaultRowHeight="18"/>
  <cols>
    <col min="1" max="1" width="0.83203125" style="94" customWidth="1"/>
    <col min="2" max="79" width="2" style="94"/>
    <col min="80" max="80" width="0.83203125" style="94" customWidth="1"/>
    <col min="81" max="97" width="2" style="94"/>
    <col min="98" max="98" width="2" style="94" customWidth="1"/>
    <col min="99" max="16384" width="2" style="94"/>
  </cols>
  <sheetData>
    <row r="1" spans="2:65">
      <c r="B1" s="125" t="s">
        <v>469</v>
      </c>
      <c r="C1" s="91"/>
    </row>
    <row r="2" spans="2:65">
      <c r="B2" s="95"/>
      <c r="C2" s="94" t="s">
        <v>246</v>
      </c>
    </row>
    <row r="3" spans="2:65">
      <c r="C3" s="96" t="s">
        <v>530</v>
      </c>
    </row>
    <row r="4" spans="2:65">
      <c r="C4" s="96" t="s">
        <v>423</v>
      </c>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03" t="s">
        <v>247</v>
      </c>
      <c r="AN7" s="903"/>
      <c r="AO7" s="903"/>
      <c r="AP7" s="903"/>
      <c r="AQ7" s="903"/>
      <c r="AR7" s="903"/>
      <c r="AS7" s="903" t="s">
        <v>247</v>
      </c>
      <c r="AT7" s="903"/>
      <c r="AU7" s="903"/>
      <c r="AV7" s="903"/>
      <c r="AW7" s="903"/>
      <c r="AX7" s="903"/>
      <c r="AY7" s="903" t="s">
        <v>248</v>
      </c>
      <c r="AZ7" s="903"/>
      <c r="BA7" s="903"/>
      <c r="BB7" s="903"/>
      <c r="BC7" s="903"/>
      <c r="BD7" s="903"/>
      <c r="BE7" s="97"/>
      <c r="BF7" s="97"/>
      <c r="BG7" s="97"/>
      <c r="BH7" s="98"/>
      <c r="BI7" s="98"/>
      <c r="BJ7" s="97"/>
      <c r="BK7" s="97"/>
      <c r="BL7" s="97"/>
      <c r="BM7" s="99" t="s">
        <v>249</v>
      </c>
    </row>
    <row r="8" spans="2:65">
      <c r="B8" s="904" t="s">
        <v>250</v>
      </c>
      <c r="C8" s="891"/>
      <c r="D8" s="891"/>
      <c r="E8" s="892"/>
      <c r="F8" s="904" t="s">
        <v>369</v>
      </c>
      <c r="G8" s="891"/>
      <c r="H8" s="891"/>
      <c r="I8" s="891"/>
      <c r="J8" s="891"/>
      <c r="K8" s="891"/>
      <c r="L8" s="891"/>
      <c r="M8" s="891"/>
      <c r="N8" s="891"/>
      <c r="O8" s="892"/>
      <c r="P8" s="904" t="s">
        <v>252</v>
      </c>
      <c r="Q8" s="891"/>
      <c r="R8" s="891"/>
      <c r="S8" s="891"/>
      <c r="T8" s="891"/>
      <c r="U8" s="891"/>
      <c r="V8" s="891"/>
      <c r="W8" s="891"/>
      <c r="X8" s="891"/>
      <c r="Y8" s="891"/>
      <c r="Z8" s="891"/>
      <c r="AA8" s="891"/>
      <c r="AB8" s="891"/>
      <c r="AC8" s="892"/>
      <c r="AD8" s="904" t="s">
        <v>253</v>
      </c>
      <c r="AE8" s="891"/>
      <c r="AF8" s="892"/>
      <c r="AG8" s="904" t="s">
        <v>370</v>
      </c>
      <c r="AH8" s="891"/>
      <c r="AI8" s="891"/>
      <c r="AJ8" s="891"/>
      <c r="AK8" s="891"/>
      <c r="AL8" s="892"/>
      <c r="AM8" s="905" t="s">
        <v>371</v>
      </c>
      <c r="AN8" s="905"/>
      <c r="AO8" s="905"/>
      <c r="AP8" s="905"/>
      <c r="AQ8" s="905"/>
      <c r="AR8" s="905"/>
      <c r="AS8" s="904" t="s">
        <v>256</v>
      </c>
      <c r="AT8" s="891"/>
      <c r="AU8" s="891"/>
      <c r="AV8" s="891"/>
      <c r="AW8" s="891"/>
      <c r="AX8" s="892"/>
      <c r="AY8" s="904" t="s">
        <v>257</v>
      </c>
      <c r="AZ8" s="891"/>
      <c r="BA8" s="891"/>
      <c r="BB8" s="891"/>
      <c r="BC8" s="891"/>
      <c r="BD8" s="892"/>
      <c r="BE8" s="891" t="s">
        <v>258</v>
      </c>
      <c r="BF8" s="891"/>
      <c r="BG8" s="891"/>
      <c r="BH8" s="891"/>
      <c r="BI8" s="891"/>
      <c r="BJ8" s="891"/>
      <c r="BK8" s="891"/>
      <c r="BL8" s="891"/>
      <c r="BM8" s="892"/>
    </row>
    <row r="9" spans="2:65">
      <c r="B9" s="893" t="s">
        <v>259</v>
      </c>
      <c r="C9" s="894"/>
      <c r="D9" s="894"/>
      <c r="E9" s="895"/>
      <c r="F9" s="896"/>
      <c r="G9" s="897"/>
      <c r="H9" s="897"/>
      <c r="I9" s="897"/>
      <c r="J9" s="897"/>
      <c r="K9" s="897"/>
      <c r="L9" s="897"/>
      <c r="M9" s="897"/>
      <c r="N9" s="897"/>
      <c r="O9" s="898"/>
      <c r="P9" s="899" t="s">
        <v>260</v>
      </c>
      <c r="Q9" s="899"/>
      <c r="R9" s="899"/>
      <c r="S9" s="899"/>
      <c r="T9" s="899"/>
      <c r="U9" s="899"/>
      <c r="V9" s="899"/>
      <c r="W9" s="899"/>
      <c r="X9" s="899"/>
      <c r="Y9" s="899"/>
      <c r="Z9" s="899"/>
      <c r="AA9" s="899"/>
      <c r="AB9" s="899"/>
      <c r="AC9" s="899"/>
      <c r="AD9" s="899" t="s">
        <v>261</v>
      </c>
      <c r="AE9" s="899"/>
      <c r="AF9" s="899"/>
      <c r="AG9" s="899" t="s">
        <v>262</v>
      </c>
      <c r="AH9" s="899"/>
      <c r="AI9" s="899"/>
      <c r="AJ9" s="899"/>
      <c r="AK9" s="899"/>
      <c r="AL9" s="899"/>
      <c r="AM9" s="899" t="s">
        <v>263</v>
      </c>
      <c r="AN9" s="899"/>
      <c r="AO9" s="899"/>
      <c r="AP9" s="899"/>
      <c r="AQ9" s="899"/>
      <c r="AR9" s="899"/>
      <c r="AS9" s="899" t="s">
        <v>264</v>
      </c>
      <c r="AT9" s="899"/>
      <c r="AU9" s="899"/>
      <c r="AV9" s="899"/>
      <c r="AW9" s="899"/>
      <c r="AX9" s="899"/>
      <c r="AY9" s="899" t="s">
        <v>265</v>
      </c>
      <c r="AZ9" s="899"/>
      <c r="BA9" s="899"/>
      <c r="BB9" s="899"/>
      <c r="BC9" s="899"/>
      <c r="BD9" s="899"/>
      <c r="BE9" s="900" t="s">
        <v>266</v>
      </c>
      <c r="BF9" s="900"/>
      <c r="BG9" s="900"/>
      <c r="BH9" s="901" t="s">
        <v>267</v>
      </c>
      <c r="BI9" s="901"/>
      <c r="BJ9" s="901"/>
      <c r="BK9" s="902" t="s">
        <v>255</v>
      </c>
      <c r="BL9" s="902"/>
      <c r="BM9" s="902"/>
    </row>
    <row r="10" spans="2:65" ht="32.25" customHeight="1">
      <c r="B10" s="880" t="s">
        <v>372</v>
      </c>
      <c r="C10" s="881"/>
      <c r="D10" s="881"/>
      <c r="E10" s="881"/>
      <c r="F10" s="883" t="s">
        <v>676</v>
      </c>
      <c r="G10" s="933"/>
      <c r="H10" s="933"/>
      <c r="I10" s="933"/>
      <c r="J10" s="933"/>
      <c r="K10" s="933"/>
      <c r="L10" s="933"/>
      <c r="M10" s="933"/>
      <c r="N10" s="933"/>
      <c r="O10" s="933"/>
      <c r="P10" s="890" t="s">
        <v>682</v>
      </c>
      <c r="Q10" s="882"/>
      <c r="R10" s="882"/>
      <c r="S10" s="882"/>
      <c r="T10" s="882"/>
      <c r="U10" s="882"/>
      <c r="V10" s="882"/>
      <c r="W10" s="882"/>
      <c r="X10" s="882"/>
      <c r="Y10" s="882"/>
      <c r="Z10" s="882"/>
      <c r="AA10" s="882"/>
      <c r="AB10" s="882"/>
      <c r="AC10" s="882"/>
      <c r="AD10" s="884" t="s">
        <v>202</v>
      </c>
      <c r="AE10" s="884"/>
      <c r="AF10" s="884"/>
      <c r="AG10" s="885">
        <v>12</v>
      </c>
      <c r="AH10" s="885"/>
      <c r="AI10" s="885"/>
      <c r="AJ10" s="885"/>
      <c r="AK10" s="885"/>
      <c r="AL10" s="885"/>
      <c r="AM10" s="885">
        <v>318000</v>
      </c>
      <c r="AN10" s="885"/>
      <c r="AO10" s="885"/>
      <c r="AP10" s="885"/>
      <c r="AQ10" s="885"/>
      <c r="AR10" s="885"/>
      <c r="AS10" s="886">
        <f>IF(AM10="","",AG10*AM10)</f>
        <v>3816000</v>
      </c>
      <c r="AT10" s="886"/>
      <c r="AU10" s="886"/>
      <c r="AV10" s="886"/>
      <c r="AW10" s="886"/>
      <c r="AX10" s="886"/>
      <c r="AY10" s="886">
        <f>IF(AM10="","",ROUNDDOWN(AG10*AM10*1.1,0))</f>
        <v>4197600</v>
      </c>
      <c r="AZ10" s="886"/>
      <c r="BA10" s="886"/>
      <c r="BB10" s="886"/>
      <c r="BC10" s="886"/>
      <c r="BD10" s="886"/>
      <c r="BE10" s="878" t="str">
        <f>IF(AS10="","",IF(AS10&gt;=300000,"必要",""))</f>
        <v>必要</v>
      </c>
      <c r="BF10" s="878"/>
      <c r="BG10" s="878"/>
      <c r="BH10" s="878" t="str">
        <f>IF(AS10="","",IF(AS10&gt;=1000000,"必要",""))</f>
        <v>必要</v>
      </c>
      <c r="BI10" s="878"/>
      <c r="BJ10" s="878"/>
      <c r="BK10" s="879" t="str">
        <f>IF(AM10="","",IF(AM10&lt;100000,"×","〇"))</f>
        <v>〇</v>
      </c>
      <c r="BL10" s="879"/>
      <c r="BM10" s="879"/>
    </row>
    <row r="11" spans="2:65" ht="32.25" customHeight="1">
      <c r="B11" s="881" t="s">
        <v>373</v>
      </c>
      <c r="C11" s="881"/>
      <c r="D11" s="881"/>
      <c r="E11" s="881"/>
      <c r="F11" s="934"/>
      <c r="G11" s="934"/>
      <c r="H11" s="934"/>
      <c r="I11" s="934"/>
      <c r="J11" s="934"/>
      <c r="K11" s="934"/>
      <c r="L11" s="934"/>
      <c r="M11" s="934"/>
      <c r="N11" s="934"/>
      <c r="O11" s="934"/>
      <c r="P11" s="934"/>
      <c r="Q11" s="934"/>
      <c r="R11" s="934"/>
      <c r="S11" s="934"/>
      <c r="T11" s="934"/>
      <c r="U11" s="934"/>
      <c r="V11" s="934"/>
      <c r="W11" s="934"/>
      <c r="X11" s="934"/>
      <c r="Y11" s="934"/>
      <c r="Z11" s="934"/>
      <c r="AA11" s="934"/>
      <c r="AB11" s="934"/>
      <c r="AC11" s="934"/>
      <c r="AD11" s="884" t="s">
        <v>202</v>
      </c>
      <c r="AE11" s="884"/>
      <c r="AF11" s="884"/>
      <c r="AG11" s="885"/>
      <c r="AH11" s="885"/>
      <c r="AI11" s="885"/>
      <c r="AJ11" s="885"/>
      <c r="AK11" s="885"/>
      <c r="AL11" s="885"/>
      <c r="AM11" s="885"/>
      <c r="AN11" s="885"/>
      <c r="AO11" s="885"/>
      <c r="AP11" s="885"/>
      <c r="AQ11" s="885"/>
      <c r="AR11" s="885"/>
      <c r="AS11" s="886" t="str">
        <f>IF(AM11="","",AG11*AM11)</f>
        <v/>
      </c>
      <c r="AT11" s="886"/>
      <c r="AU11" s="886"/>
      <c r="AV11" s="886"/>
      <c r="AW11" s="886"/>
      <c r="AX11" s="886"/>
      <c r="AY11" s="886" t="str">
        <f>IF(AM11="","",ROUNDDOWN(AG11*AM11*1.1,0))</f>
        <v/>
      </c>
      <c r="AZ11" s="886"/>
      <c r="BA11" s="886"/>
      <c r="BB11" s="886"/>
      <c r="BC11" s="886"/>
      <c r="BD11" s="886"/>
      <c r="BE11" s="878" t="str">
        <f>IF(AS11="","",IF(AS11&gt;=300000,"必要",""))</f>
        <v/>
      </c>
      <c r="BF11" s="878"/>
      <c r="BG11" s="878"/>
      <c r="BH11" s="878" t="str">
        <f>IF(AS11="","",IF(AS11&gt;=1000000,"必要",""))</f>
        <v/>
      </c>
      <c r="BI11" s="878"/>
      <c r="BJ11" s="878"/>
      <c r="BK11" s="879" t="str">
        <f>IF(AM11="","",IF(AM11&lt;100000,"×","〇"))</f>
        <v/>
      </c>
      <c r="BL11" s="879"/>
      <c r="BM11" s="879"/>
    </row>
    <row r="12" spans="2:65" ht="32.25" customHeight="1">
      <c r="B12" s="881" t="s">
        <v>374</v>
      </c>
      <c r="C12" s="881"/>
      <c r="D12" s="881"/>
      <c r="E12" s="881"/>
      <c r="F12" s="934"/>
      <c r="G12" s="934"/>
      <c r="H12" s="934"/>
      <c r="I12" s="934"/>
      <c r="J12" s="934"/>
      <c r="K12" s="934"/>
      <c r="L12" s="934"/>
      <c r="M12" s="934"/>
      <c r="N12" s="934"/>
      <c r="O12" s="934"/>
      <c r="P12" s="934"/>
      <c r="Q12" s="934"/>
      <c r="R12" s="934"/>
      <c r="S12" s="934"/>
      <c r="T12" s="934"/>
      <c r="U12" s="934"/>
      <c r="V12" s="934"/>
      <c r="W12" s="934"/>
      <c r="X12" s="934"/>
      <c r="Y12" s="934"/>
      <c r="Z12" s="934"/>
      <c r="AA12" s="934"/>
      <c r="AB12" s="934"/>
      <c r="AC12" s="934"/>
      <c r="AD12" s="884" t="s">
        <v>202</v>
      </c>
      <c r="AE12" s="884"/>
      <c r="AF12" s="884"/>
      <c r="AG12" s="885"/>
      <c r="AH12" s="885"/>
      <c r="AI12" s="885"/>
      <c r="AJ12" s="885"/>
      <c r="AK12" s="885"/>
      <c r="AL12" s="885"/>
      <c r="AM12" s="885"/>
      <c r="AN12" s="885"/>
      <c r="AO12" s="885"/>
      <c r="AP12" s="885"/>
      <c r="AQ12" s="885"/>
      <c r="AR12" s="885"/>
      <c r="AS12" s="886" t="str">
        <f>IF(AM12="","",AG12*AM12)</f>
        <v/>
      </c>
      <c r="AT12" s="886"/>
      <c r="AU12" s="886"/>
      <c r="AV12" s="886"/>
      <c r="AW12" s="886"/>
      <c r="AX12" s="886"/>
      <c r="AY12" s="886" t="str">
        <f>IF(AM12="","",ROUNDDOWN(AG12*AM12*1.1,0))</f>
        <v/>
      </c>
      <c r="AZ12" s="886"/>
      <c r="BA12" s="886"/>
      <c r="BB12" s="886"/>
      <c r="BC12" s="886"/>
      <c r="BD12" s="886"/>
      <c r="BE12" s="878" t="str">
        <f>IF(AS12="","",IF(AS12&gt;=300000,"必要",""))</f>
        <v/>
      </c>
      <c r="BF12" s="878"/>
      <c r="BG12" s="878"/>
      <c r="BH12" s="878" t="str">
        <f>IF(AS12="","",IF(AS12&gt;=1000000,"必要",""))</f>
        <v/>
      </c>
      <c r="BI12" s="878"/>
      <c r="BJ12" s="878"/>
      <c r="BK12" s="879" t="str">
        <f>IF(AM12="","",IF(AM12&lt;100000,"×","〇"))</f>
        <v/>
      </c>
      <c r="BL12" s="879"/>
      <c r="BM12" s="879"/>
    </row>
    <row r="13" spans="2:65" ht="32.25" customHeight="1">
      <c r="B13" s="881" t="s">
        <v>375</v>
      </c>
      <c r="C13" s="881"/>
      <c r="D13" s="881"/>
      <c r="E13" s="881"/>
      <c r="F13" s="934"/>
      <c r="G13" s="934"/>
      <c r="H13" s="934"/>
      <c r="I13" s="934"/>
      <c r="J13" s="934"/>
      <c r="K13" s="934"/>
      <c r="L13" s="934"/>
      <c r="M13" s="934"/>
      <c r="N13" s="934"/>
      <c r="O13" s="934"/>
      <c r="P13" s="934"/>
      <c r="Q13" s="934"/>
      <c r="R13" s="934"/>
      <c r="S13" s="934"/>
      <c r="T13" s="934"/>
      <c r="U13" s="934"/>
      <c r="V13" s="934"/>
      <c r="W13" s="934"/>
      <c r="X13" s="934"/>
      <c r="Y13" s="934"/>
      <c r="Z13" s="934"/>
      <c r="AA13" s="934"/>
      <c r="AB13" s="934"/>
      <c r="AC13" s="934"/>
      <c r="AD13" s="884" t="s">
        <v>202</v>
      </c>
      <c r="AE13" s="884"/>
      <c r="AF13" s="884"/>
      <c r="AG13" s="885"/>
      <c r="AH13" s="885"/>
      <c r="AI13" s="885"/>
      <c r="AJ13" s="885"/>
      <c r="AK13" s="885"/>
      <c r="AL13" s="885"/>
      <c r="AM13" s="885"/>
      <c r="AN13" s="885"/>
      <c r="AO13" s="885"/>
      <c r="AP13" s="885"/>
      <c r="AQ13" s="885"/>
      <c r="AR13" s="885"/>
      <c r="AS13" s="886" t="str">
        <f>IF(AM13="","",AG13*AM13)</f>
        <v/>
      </c>
      <c r="AT13" s="886"/>
      <c r="AU13" s="886"/>
      <c r="AV13" s="886"/>
      <c r="AW13" s="886"/>
      <c r="AX13" s="886"/>
      <c r="AY13" s="886" t="str">
        <f>IF(AM13="","",ROUNDDOWN(AG13*AM13*1.1,0))</f>
        <v/>
      </c>
      <c r="AZ13" s="886"/>
      <c r="BA13" s="886"/>
      <c r="BB13" s="886"/>
      <c r="BC13" s="886"/>
      <c r="BD13" s="886"/>
      <c r="BE13" s="878" t="str">
        <f>IF(AS13="","",IF(AS13&gt;=300000,"必要",""))</f>
        <v/>
      </c>
      <c r="BF13" s="878"/>
      <c r="BG13" s="878"/>
      <c r="BH13" s="878" t="str">
        <f>IF(AS13="","",IF(AS13&gt;=1000000,"必要",""))</f>
        <v/>
      </c>
      <c r="BI13" s="878"/>
      <c r="BJ13" s="878"/>
      <c r="BK13" s="879" t="str">
        <f>IF(AM13="","",IF(AM13&lt;100000,"×","〇"))</f>
        <v/>
      </c>
      <c r="BL13" s="879"/>
      <c r="BM13" s="879"/>
    </row>
    <row r="14" spans="2:65" ht="32.25" customHeight="1">
      <c r="B14" s="881" t="s">
        <v>376</v>
      </c>
      <c r="C14" s="881"/>
      <c r="D14" s="881"/>
      <c r="E14" s="881"/>
      <c r="F14" s="934"/>
      <c r="G14" s="934"/>
      <c r="H14" s="934"/>
      <c r="I14" s="934"/>
      <c r="J14" s="934"/>
      <c r="K14" s="934"/>
      <c r="L14" s="934"/>
      <c r="M14" s="934"/>
      <c r="N14" s="934"/>
      <c r="O14" s="934"/>
      <c r="P14" s="934"/>
      <c r="Q14" s="934"/>
      <c r="R14" s="934"/>
      <c r="S14" s="934"/>
      <c r="T14" s="934"/>
      <c r="U14" s="934"/>
      <c r="V14" s="934"/>
      <c r="W14" s="934"/>
      <c r="X14" s="934"/>
      <c r="Y14" s="934"/>
      <c r="Z14" s="934"/>
      <c r="AA14" s="934"/>
      <c r="AB14" s="934"/>
      <c r="AC14" s="934"/>
      <c r="AD14" s="884" t="s">
        <v>202</v>
      </c>
      <c r="AE14" s="884"/>
      <c r="AF14" s="884"/>
      <c r="AG14" s="885"/>
      <c r="AH14" s="885"/>
      <c r="AI14" s="885"/>
      <c r="AJ14" s="885"/>
      <c r="AK14" s="885"/>
      <c r="AL14" s="885"/>
      <c r="AM14" s="885"/>
      <c r="AN14" s="885"/>
      <c r="AO14" s="885"/>
      <c r="AP14" s="885"/>
      <c r="AQ14" s="885"/>
      <c r="AR14" s="885"/>
      <c r="AS14" s="886" t="str">
        <f>IF(AM14="","",AG14*AM14)</f>
        <v/>
      </c>
      <c r="AT14" s="886"/>
      <c r="AU14" s="886"/>
      <c r="AV14" s="886"/>
      <c r="AW14" s="886"/>
      <c r="AX14" s="886"/>
      <c r="AY14" s="886" t="str">
        <f>IF(AM14="","",ROUNDDOWN(AG14*AM14*1.1,0))</f>
        <v/>
      </c>
      <c r="AZ14" s="886"/>
      <c r="BA14" s="886"/>
      <c r="BB14" s="886"/>
      <c r="BC14" s="886"/>
      <c r="BD14" s="886"/>
      <c r="BE14" s="878" t="str">
        <f>IF(AS14="","",IF(AS14&gt;=300000,"必要",""))</f>
        <v/>
      </c>
      <c r="BF14" s="878"/>
      <c r="BG14" s="878"/>
      <c r="BH14" s="878" t="str">
        <f>IF(AS14="","",IF(AS14&gt;=1000000,"必要",""))</f>
        <v/>
      </c>
      <c r="BI14" s="878"/>
      <c r="BJ14" s="878"/>
      <c r="BK14" s="879" t="str">
        <f>IF(AM14="","",IF(AM14&lt;100000,"×","〇"))</f>
        <v/>
      </c>
      <c r="BL14" s="879"/>
      <c r="BM14" s="879"/>
    </row>
    <row r="15" spans="2:65" ht="32.25" customHeight="1">
      <c r="AM15" s="887" t="s">
        <v>34</v>
      </c>
      <c r="AN15" s="887"/>
      <c r="AO15" s="887"/>
      <c r="AP15" s="887"/>
      <c r="AQ15" s="887"/>
      <c r="AR15" s="888"/>
      <c r="AS15" s="889">
        <f>SUM(AS10:AX14)</f>
        <v>3816000</v>
      </c>
      <c r="AT15" s="889"/>
      <c r="AU15" s="889"/>
      <c r="AV15" s="889"/>
      <c r="AW15" s="889"/>
      <c r="AX15" s="889"/>
      <c r="AY15" s="889">
        <f>SUM(AY10:BD14)</f>
        <v>4197600</v>
      </c>
      <c r="AZ15" s="889"/>
      <c r="BA15" s="889"/>
      <c r="BB15" s="889"/>
      <c r="BC15" s="889"/>
      <c r="BD15" s="889"/>
    </row>
    <row r="16" spans="2:65">
      <c r="B16" s="91" t="s">
        <v>377</v>
      </c>
      <c r="C16" s="91"/>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row>
    <row r="17" spans="2:65">
      <c r="B17" s="127" t="s">
        <v>378</v>
      </c>
      <c r="C17" s="128"/>
      <c r="D17" s="128"/>
      <c r="E17" s="128"/>
      <c r="F17" s="128"/>
      <c r="G17" s="128"/>
      <c r="H17" s="128"/>
      <c r="I17" s="128"/>
      <c r="J17" s="128"/>
      <c r="K17" s="128"/>
      <c r="L17" s="128"/>
      <c r="M17" s="128"/>
      <c r="N17" s="128"/>
      <c r="O17" s="128"/>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6"/>
      <c r="BA17" s="126"/>
      <c r="BB17" s="126"/>
      <c r="BC17" s="91"/>
      <c r="BD17" s="91"/>
      <c r="BE17" s="91"/>
      <c r="BF17" s="91"/>
      <c r="BG17" s="91"/>
      <c r="BH17" s="91"/>
      <c r="BI17" s="91"/>
      <c r="BJ17" s="91"/>
      <c r="BK17" s="91"/>
      <c r="BL17" s="91"/>
      <c r="BM17" s="91"/>
    </row>
    <row r="18" spans="2:65" ht="23.5" customHeight="1">
      <c r="B18" s="853" t="s">
        <v>379</v>
      </c>
      <c r="C18" s="853"/>
      <c r="D18" s="853"/>
      <c r="E18" s="853"/>
      <c r="F18" s="1017" t="s">
        <v>680</v>
      </c>
      <c r="G18" s="1018"/>
      <c r="H18" s="1018"/>
      <c r="I18" s="1018"/>
      <c r="J18" s="1018"/>
      <c r="K18" s="1021" t="s">
        <v>439</v>
      </c>
      <c r="L18" s="853"/>
      <c r="M18" s="853"/>
      <c r="N18" s="853"/>
      <c r="O18" s="853"/>
      <c r="P18" s="1017" t="s">
        <v>679</v>
      </c>
      <c r="Q18" s="1018"/>
      <c r="R18" s="1018"/>
      <c r="S18" s="1018"/>
      <c r="T18" s="1018"/>
      <c r="U18" s="1018"/>
      <c r="V18" s="1018"/>
      <c r="W18" s="1018"/>
      <c r="X18" s="1018"/>
      <c r="Y18" s="1018"/>
      <c r="Z18" s="1018"/>
      <c r="AA18" s="1018"/>
      <c r="AB18" s="1018"/>
      <c r="AC18" s="1018"/>
      <c r="AD18" s="1018"/>
      <c r="AE18" s="1018"/>
      <c r="AF18" s="1018"/>
      <c r="AG18" s="1018"/>
      <c r="AH18" s="1018"/>
      <c r="AI18" s="1018"/>
      <c r="AJ18" s="1018"/>
      <c r="AK18" s="1018"/>
      <c r="AL18" s="1018"/>
      <c r="AM18" s="1018"/>
      <c r="AN18" s="1018"/>
      <c r="AO18" s="1018"/>
      <c r="AP18" s="1018"/>
      <c r="AQ18" s="1018"/>
      <c r="AR18" s="1018"/>
      <c r="AS18" s="1018"/>
      <c r="AT18" s="1018"/>
      <c r="AU18" s="1018"/>
      <c r="AV18" s="1018"/>
      <c r="AW18" s="1018"/>
      <c r="AX18" s="1018"/>
      <c r="AY18" s="1018"/>
      <c r="AZ18" s="1018"/>
      <c r="BA18" s="1018"/>
      <c r="BB18" s="1018"/>
      <c r="BC18" s="1018"/>
      <c r="BD18" s="1018"/>
      <c r="BE18" s="1018"/>
      <c r="BF18" s="1018"/>
      <c r="BG18" s="1018"/>
      <c r="BH18" s="1018"/>
      <c r="BI18" s="1018"/>
      <c r="BJ18" s="1018"/>
      <c r="BK18" s="1018"/>
      <c r="BL18" s="1018"/>
      <c r="BM18" s="1018"/>
    </row>
    <row r="19" spans="2:65" ht="23.5" customHeight="1">
      <c r="B19" s="853" t="s">
        <v>380</v>
      </c>
      <c r="C19" s="853"/>
      <c r="D19" s="853"/>
      <c r="E19" s="853"/>
      <c r="F19" s="853"/>
      <c r="G19" s="853"/>
      <c r="H19" s="853"/>
      <c r="I19" s="853" t="s">
        <v>117</v>
      </c>
      <c r="J19" s="853"/>
      <c r="K19" s="853"/>
      <c r="L19" s="853"/>
      <c r="M19" s="853"/>
      <c r="N19" s="853"/>
      <c r="O19" s="853"/>
      <c r="P19" s="1017" t="s">
        <v>676</v>
      </c>
      <c r="Q19" s="1018"/>
      <c r="R19" s="1018"/>
      <c r="S19" s="1018"/>
      <c r="T19" s="1018"/>
      <c r="U19" s="1018"/>
      <c r="V19" s="1018"/>
      <c r="W19" s="1018"/>
      <c r="X19" s="1018"/>
      <c r="Y19" s="1018"/>
      <c r="Z19" s="1018"/>
      <c r="AA19" s="1018"/>
      <c r="AB19" s="1018"/>
      <c r="AC19" s="1018"/>
      <c r="AD19" s="1018"/>
      <c r="AE19" s="1018"/>
      <c r="AF19" s="1018"/>
      <c r="AG19" s="1018"/>
      <c r="AH19" s="1018"/>
      <c r="AI19" s="1018"/>
      <c r="AJ19" s="1018"/>
      <c r="AK19" s="1018"/>
      <c r="AL19" s="1018"/>
      <c r="AM19" s="1018"/>
      <c r="AN19" s="1018"/>
      <c r="AO19" s="1018"/>
      <c r="AP19" s="1018"/>
      <c r="AQ19" s="1018"/>
      <c r="AR19" s="1018"/>
      <c r="AS19" s="1018"/>
      <c r="AT19" s="1018"/>
      <c r="AU19" s="1018"/>
      <c r="AV19" s="1018"/>
      <c r="AW19" s="1018"/>
      <c r="AX19" s="1018"/>
      <c r="AY19" s="1018"/>
      <c r="AZ19" s="1018"/>
      <c r="BA19" s="1018"/>
      <c r="BB19" s="1018"/>
      <c r="BC19" s="1018"/>
      <c r="BD19" s="1018"/>
      <c r="BE19" s="1018"/>
      <c r="BF19" s="1018"/>
      <c r="BG19" s="1018"/>
      <c r="BH19" s="1018"/>
      <c r="BI19" s="1018"/>
      <c r="BJ19" s="1018"/>
      <c r="BK19" s="1018"/>
      <c r="BL19" s="1018"/>
      <c r="BM19" s="1018"/>
    </row>
    <row r="20" spans="2:65" ht="23.5" customHeight="1">
      <c r="B20" s="853"/>
      <c r="C20" s="853"/>
      <c r="D20" s="853"/>
      <c r="E20" s="853"/>
      <c r="F20" s="853"/>
      <c r="G20" s="853"/>
      <c r="H20" s="853"/>
      <c r="I20" s="853" t="s">
        <v>119</v>
      </c>
      <c r="J20" s="853"/>
      <c r="K20" s="853"/>
      <c r="L20" s="853"/>
      <c r="M20" s="853"/>
      <c r="N20" s="853"/>
      <c r="O20" s="853"/>
      <c r="P20" s="1017" t="s">
        <v>677</v>
      </c>
      <c r="Q20" s="1018"/>
      <c r="R20" s="1018"/>
      <c r="S20" s="1018"/>
      <c r="T20" s="1018"/>
      <c r="U20" s="1018"/>
      <c r="V20" s="1018"/>
      <c r="W20" s="1018"/>
      <c r="X20" s="1018"/>
      <c r="Y20" s="1018"/>
      <c r="Z20" s="1018"/>
      <c r="AA20" s="1018"/>
      <c r="AB20" s="1018"/>
      <c r="AC20" s="1018"/>
      <c r="AD20" s="1018"/>
      <c r="AE20" s="1018"/>
      <c r="AF20" s="1018"/>
      <c r="AG20" s="1018"/>
      <c r="AH20" s="1018"/>
      <c r="AI20" s="1018"/>
      <c r="AJ20" s="1018"/>
      <c r="AK20" s="1018"/>
      <c r="AL20" s="1018"/>
      <c r="AM20" s="1018"/>
      <c r="AN20" s="1018"/>
      <c r="AO20" s="1018"/>
      <c r="AP20" s="1018"/>
      <c r="AQ20" s="1018"/>
      <c r="AR20" s="1018"/>
      <c r="AS20" s="1018"/>
      <c r="AT20" s="1018"/>
      <c r="AU20" s="1018"/>
      <c r="AV20" s="1018"/>
      <c r="AW20" s="1018"/>
      <c r="AX20" s="1018"/>
      <c r="AY20" s="1018"/>
      <c r="AZ20" s="1018"/>
      <c r="BA20" s="1018"/>
      <c r="BB20" s="1018"/>
      <c r="BC20" s="1018"/>
      <c r="BD20" s="1018"/>
      <c r="BE20" s="1018"/>
      <c r="BF20" s="1018"/>
      <c r="BG20" s="1018"/>
      <c r="BH20" s="1018"/>
      <c r="BI20" s="1018"/>
      <c r="BJ20" s="1018"/>
      <c r="BK20" s="1018"/>
      <c r="BL20" s="1018"/>
      <c r="BM20" s="1018"/>
    </row>
    <row r="21" spans="2:65" ht="23.5" customHeight="1">
      <c r="B21" s="853"/>
      <c r="C21" s="853"/>
      <c r="D21" s="853"/>
      <c r="E21" s="853"/>
      <c r="F21" s="853"/>
      <c r="G21" s="853"/>
      <c r="H21" s="853"/>
      <c r="I21" s="1020" t="s">
        <v>438</v>
      </c>
      <c r="J21" s="1021"/>
      <c r="K21" s="1021"/>
      <c r="L21" s="1021"/>
      <c r="M21" s="1021"/>
      <c r="N21" s="1021"/>
      <c r="O21" s="1021"/>
      <c r="P21" s="1017" t="s">
        <v>678</v>
      </c>
      <c r="Q21" s="1018"/>
      <c r="R21" s="1018"/>
      <c r="S21" s="1018"/>
      <c r="T21" s="1018"/>
      <c r="U21" s="1018"/>
      <c r="V21" s="1018"/>
      <c r="W21" s="1018"/>
      <c r="X21" s="1018"/>
      <c r="Y21" s="1018"/>
      <c r="Z21" s="1018"/>
      <c r="AA21" s="1018"/>
      <c r="AB21" s="1018"/>
      <c r="AC21" s="1018"/>
      <c r="AD21" s="1018"/>
      <c r="AE21" s="1018"/>
      <c r="AF21" s="1018"/>
      <c r="AG21" s="1018"/>
      <c r="AH21" s="1018"/>
      <c r="AI21" s="1018"/>
      <c r="AJ21" s="1018"/>
      <c r="AK21" s="1018"/>
      <c r="AL21" s="1018"/>
      <c r="AM21" s="1018"/>
      <c r="AN21" s="1018"/>
      <c r="AO21" s="1018"/>
      <c r="AP21" s="1018"/>
      <c r="AQ21" s="1018"/>
      <c r="AR21" s="1018"/>
      <c r="AS21" s="1018"/>
      <c r="AT21" s="1018"/>
      <c r="AU21" s="1018"/>
      <c r="AV21" s="1018"/>
      <c r="AW21" s="1018"/>
      <c r="AX21" s="1018"/>
      <c r="AY21" s="1018"/>
      <c r="AZ21" s="1018"/>
      <c r="BA21" s="1018"/>
      <c r="BB21" s="1018"/>
      <c r="BC21" s="1018"/>
      <c r="BD21" s="1018"/>
      <c r="BE21" s="1018"/>
      <c r="BF21" s="1018"/>
      <c r="BG21" s="1018"/>
      <c r="BH21" s="1018"/>
      <c r="BI21" s="1018"/>
      <c r="BJ21" s="1018"/>
      <c r="BK21" s="1018"/>
      <c r="BL21" s="1018"/>
      <c r="BM21" s="1018"/>
    </row>
    <row r="22" spans="2:65" ht="23.5" customHeight="1">
      <c r="B22" s="1019" t="s">
        <v>459</v>
      </c>
      <c r="C22" s="853"/>
      <c r="D22" s="853"/>
      <c r="E22" s="853"/>
      <c r="F22" s="853"/>
      <c r="G22" s="853"/>
      <c r="H22" s="853"/>
      <c r="I22" s="853"/>
      <c r="J22" s="853"/>
      <c r="K22" s="853"/>
      <c r="L22" s="853"/>
      <c r="M22" s="853"/>
      <c r="N22" s="853"/>
      <c r="O22" s="853"/>
      <c r="P22" s="1022" t="s">
        <v>306</v>
      </c>
      <c r="Q22" s="1022"/>
      <c r="R22" s="1022"/>
      <c r="S22" s="1022"/>
      <c r="T22" s="1022"/>
      <c r="U22" s="1022"/>
      <c r="V22" s="1022"/>
      <c r="W22" s="1022"/>
      <c r="X22" s="1022"/>
      <c r="Y22" s="1022"/>
      <c r="Z22" s="1022"/>
      <c r="AA22" s="1022"/>
      <c r="AB22" s="1022"/>
      <c r="AC22" s="1022"/>
      <c r="AD22" s="1022"/>
      <c r="AE22" s="1022"/>
      <c r="AF22" s="1022"/>
      <c r="AG22" s="1022"/>
      <c r="AH22" s="1022"/>
      <c r="AI22" s="1022"/>
      <c r="AJ22" s="1022"/>
      <c r="AK22" s="1022"/>
      <c r="AL22" s="1022"/>
      <c r="AM22" s="1022"/>
      <c r="AN22" s="1022"/>
      <c r="AO22" s="1022"/>
      <c r="AP22" s="1022"/>
      <c r="AQ22" s="1022"/>
      <c r="AR22" s="1022"/>
      <c r="AS22" s="1022"/>
      <c r="AT22" s="1022"/>
      <c r="AU22" s="1022"/>
      <c r="AV22" s="1022"/>
      <c r="AW22" s="1022"/>
      <c r="AX22" s="1022"/>
      <c r="AY22" s="1022"/>
      <c r="AZ22" s="1022"/>
      <c r="BA22" s="1022"/>
      <c r="BB22" s="1022"/>
      <c r="BC22" s="1022"/>
      <c r="BD22" s="1022"/>
      <c r="BE22" s="1022"/>
      <c r="BF22" s="1022"/>
      <c r="BG22" s="1022"/>
      <c r="BH22" s="1022"/>
      <c r="BI22" s="1022"/>
      <c r="BJ22" s="1022"/>
      <c r="BK22" s="1022"/>
      <c r="BL22" s="1022"/>
      <c r="BM22" s="1022"/>
    </row>
    <row r="23" spans="2:65" ht="23.5" customHeight="1">
      <c r="B23" s="853" t="s">
        <v>381</v>
      </c>
      <c r="C23" s="853"/>
      <c r="D23" s="853"/>
      <c r="E23" s="853"/>
      <c r="F23" s="853"/>
      <c r="G23" s="853"/>
      <c r="H23" s="853"/>
      <c r="I23" s="853"/>
      <c r="J23" s="853"/>
      <c r="K23" s="853"/>
      <c r="L23" s="853"/>
      <c r="M23" s="853"/>
      <c r="N23" s="853"/>
      <c r="O23" s="853"/>
      <c r="P23" s="1017" t="s">
        <v>683</v>
      </c>
      <c r="Q23" s="1018"/>
      <c r="R23" s="1018"/>
      <c r="S23" s="1018"/>
      <c r="T23" s="1018"/>
      <c r="U23" s="1018"/>
      <c r="V23" s="1018"/>
      <c r="W23" s="1018"/>
      <c r="X23" s="1018"/>
      <c r="Y23" s="1018"/>
      <c r="Z23" s="1018"/>
      <c r="AA23" s="1018"/>
      <c r="AB23" s="1018"/>
      <c r="AC23" s="1018"/>
      <c r="AD23" s="1018"/>
      <c r="AE23" s="1018"/>
      <c r="AF23" s="1018"/>
      <c r="AG23" s="1018"/>
      <c r="AH23" s="1018"/>
      <c r="AI23" s="1018"/>
      <c r="AJ23" s="1018"/>
      <c r="AK23" s="1018"/>
      <c r="AL23" s="1018"/>
      <c r="AM23" s="1018"/>
      <c r="AN23" s="1018"/>
      <c r="AO23" s="1018"/>
      <c r="AP23" s="1018"/>
      <c r="AQ23" s="1018"/>
      <c r="AR23" s="1018"/>
      <c r="AS23" s="1018"/>
      <c r="AT23" s="1018"/>
      <c r="AU23" s="1018"/>
      <c r="AV23" s="1018"/>
      <c r="AW23" s="1018"/>
      <c r="AX23" s="1018"/>
      <c r="AY23" s="1018"/>
      <c r="AZ23" s="1018"/>
      <c r="BA23" s="1018"/>
      <c r="BB23" s="1018"/>
      <c r="BC23" s="1018"/>
      <c r="BD23" s="1018"/>
      <c r="BE23" s="1018"/>
      <c r="BF23" s="1018"/>
      <c r="BG23" s="1018"/>
      <c r="BH23" s="1018"/>
      <c r="BI23" s="1018"/>
      <c r="BJ23" s="1018"/>
      <c r="BK23" s="1018"/>
      <c r="BL23" s="1018"/>
      <c r="BM23" s="1018"/>
    </row>
    <row r="24" spans="2:65" ht="23.5" customHeight="1">
      <c r="B24" s="832" t="s">
        <v>382</v>
      </c>
      <c r="C24" s="833"/>
      <c r="D24" s="833"/>
      <c r="E24" s="833"/>
      <c r="F24" s="833"/>
      <c r="G24" s="833"/>
      <c r="H24" s="833"/>
      <c r="I24" s="833"/>
      <c r="J24" s="833"/>
      <c r="K24" s="833"/>
      <c r="L24" s="833"/>
      <c r="M24" s="833"/>
      <c r="N24" s="833"/>
      <c r="O24" s="833"/>
      <c r="P24" s="833"/>
      <c r="Q24" s="833"/>
      <c r="R24" s="833"/>
      <c r="S24" s="833"/>
      <c r="T24" s="833"/>
      <c r="U24" s="833"/>
      <c r="V24" s="833"/>
      <c r="W24" s="833"/>
      <c r="X24" s="833"/>
      <c r="Y24" s="833"/>
      <c r="Z24" s="833"/>
      <c r="AA24" s="833"/>
      <c r="AB24" s="833"/>
      <c r="AC24" s="833"/>
      <c r="AD24" s="833"/>
      <c r="AE24" s="833"/>
      <c r="AF24" s="833"/>
      <c r="AG24" s="833"/>
      <c r="AH24" s="833"/>
      <c r="AI24" s="833"/>
      <c r="AJ24" s="833"/>
      <c r="AK24" s="833"/>
      <c r="AL24" s="833"/>
      <c r="AM24" s="833"/>
      <c r="AN24" s="833"/>
      <c r="AO24" s="833"/>
      <c r="AP24" s="833"/>
      <c r="AQ24" s="833"/>
      <c r="AR24" s="833"/>
      <c r="AS24" s="833"/>
      <c r="AT24" s="833"/>
      <c r="AU24" s="833"/>
      <c r="AV24" s="833"/>
      <c r="AW24" s="833"/>
      <c r="AX24" s="833"/>
      <c r="AY24" s="833"/>
      <c r="AZ24" s="833"/>
      <c r="BA24" s="833"/>
      <c r="BB24" s="834"/>
      <c r="BC24" s="1023" t="s">
        <v>681</v>
      </c>
      <c r="BD24" s="1024"/>
      <c r="BE24" s="1024"/>
      <c r="BF24" s="1024"/>
      <c r="BG24" s="1024"/>
      <c r="BH24" s="1024"/>
      <c r="BI24" s="1024"/>
      <c r="BJ24" s="1024"/>
      <c r="BK24" s="1024"/>
      <c r="BL24" s="1024"/>
      <c r="BM24" s="1025"/>
    </row>
  </sheetData>
  <mergeCells count="98">
    <mergeCell ref="AM7:AR7"/>
    <mergeCell ref="AS7:AX7"/>
    <mergeCell ref="AY7:BD7"/>
    <mergeCell ref="B8:E8"/>
    <mergeCell ref="F8:O8"/>
    <mergeCell ref="P8:AC8"/>
    <mergeCell ref="AD8:AF8"/>
    <mergeCell ref="AG8:AL8"/>
    <mergeCell ref="AM8:AR8"/>
    <mergeCell ref="AS8:AX8"/>
    <mergeCell ref="AY8:BD8"/>
    <mergeCell ref="BE8:BM8"/>
    <mergeCell ref="B9:E9"/>
    <mergeCell ref="F9:O9"/>
    <mergeCell ref="P9:AC9"/>
    <mergeCell ref="AD9:AF9"/>
    <mergeCell ref="AG9:AL9"/>
    <mergeCell ref="AM9:AR9"/>
    <mergeCell ref="AS9:AX9"/>
    <mergeCell ref="AY9:BD9"/>
    <mergeCell ref="BE9:BG9"/>
    <mergeCell ref="BH9:BJ9"/>
    <mergeCell ref="BK9:BM9"/>
    <mergeCell ref="B11:E11"/>
    <mergeCell ref="B10:E10"/>
    <mergeCell ref="F10:O10"/>
    <mergeCell ref="P10:AC10"/>
    <mergeCell ref="AD10:AF10"/>
    <mergeCell ref="F11:O11"/>
    <mergeCell ref="P11:AC11"/>
    <mergeCell ref="AD11:AF11"/>
    <mergeCell ref="B12:E12"/>
    <mergeCell ref="F12:O12"/>
    <mergeCell ref="P12:AC12"/>
    <mergeCell ref="AD12:AF12"/>
    <mergeCell ref="AG12:AL12"/>
    <mergeCell ref="AG11:AL11"/>
    <mergeCell ref="AM11:AR11"/>
    <mergeCell ref="AS10:AX10"/>
    <mergeCell ref="AY12:BD12"/>
    <mergeCell ref="BE12:BG12"/>
    <mergeCell ref="AY10:BD10"/>
    <mergeCell ref="BE10:BG10"/>
    <mergeCell ref="AM10:AR10"/>
    <mergeCell ref="AM12:AR12"/>
    <mergeCell ref="AG10:AL10"/>
    <mergeCell ref="BH12:BJ12"/>
    <mergeCell ref="BK12:BM12"/>
    <mergeCell ref="AS11:AX11"/>
    <mergeCell ref="AY11:BD11"/>
    <mergeCell ref="BE11:BG11"/>
    <mergeCell ref="BH11:BJ11"/>
    <mergeCell ref="BK11:BM11"/>
    <mergeCell ref="AS12:AX12"/>
    <mergeCell ref="BH10:BJ10"/>
    <mergeCell ref="BK10:BM10"/>
    <mergeCell ref="AM13:AR13"/>
    <mergeCell ref="B14:E14"/>
    <mergeCell ref="F14:O14"/>
    <mergeCell ref="P14:AC14"/>
    <mergeCell ref="AD14:AF14"/>
    <mergeCell ref="AG14:AL14"/>
    <mergeCell ref="B13:E13"/>
    <mergeCell ref="F13:O13"/>
    <mergeCell ref="P13:AC13"/>
    <mergeCell ref="AD13:AF13"/>
    <mergeCell ref="AG13:AL13"/>
    <mergeCell ref="BK14:BM14"/>
    <mergeCell ref="AS13:AX13"/>
    <mergeCell ref="AY13:BD13"/>
    <mergeCell ref="BE13:BG13"/>
    <mergeCell ref="BH13:BJ13"/>
    <mergeCell ref="BK13:BM13"/>
    <mergeCell ref="AM14:AR14"/>
    <mergeCell ref="AS14:AX14"/>
    <mergeCell ref="AY14:BD14"/>
    <mergeCell ref="BE14:BG14"/>
    <mergeCell ref="BH14:BJ14"/>
    <mergeCell ref="AM15:AR15"/>
    <mergeCell ref="AS15:AX15"/>
    <mergeCell ref="AY15:BD15"/>
    <mergeCell ref="K18:O18"/>
    <mergeCell ref="P18:BM18"/>
    <mergeCell ref="P21:BM21"/>
    <mergeCell ref="P19:BM19"/>
    <mergeCell ref="P20:BM20"/>
    <mergeCell ref="P22:BM22"/>
    <mergeCell ref="B24:BB24"/>
    <mergeCell ref="BC24:BM24"/>
    <mergeCell ref="P23:BM23"/>
    <mergeCell ref="B18:E18"/>
    <mergeCell ref="F18:J18"/>
    <mergeCell ref="B22:O22"/>
    <mergeCell ref="B23:O23"/>
    <mergeCell ref="I19:O19"/>
    <mergeCell ref="I20:O20"/>
    <mergeCell ref="I21:O21"/>
    <mergeCell ref="B19:H21"/>
  </mergeCells>
  <phoneticPr fontId="41"/>
  <dataValidations count="2">
    <dataValidation type="list" allowBlank="1" showInputMessage="1" showErrorMessage="1" sqref="AD10:AD14" xr:uid="{00000000-0002-0000-1100-000000000000}">
      <formula1>"(選択),購入,リース,レンタル"</formula1>
    </dataValidation>
    <dataValidation type="list" allowBlank="1" showInputMessage="1" showErrorMessage="1" sqref="BC24:BM24" xr:uid="{00000000-0002-0000-1100-000001000000}">
      <formula1>"選択してください,関連あり,関連なし"</formula1>
    </dataValidation>
  </dataValidations>
  <pageMargins left="0.7" right="0.7" top="0.75" bottom="0.75" header="0.3" footer="0.3"/>
  <pageSetup paperSize="9" scale="57"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4" tint="0.79998168889431442"/>
  </sheetPr>
  <dimension ref="B1:BM31"/>
  <sheetViews>
    <sheetView view="pageBreakPreview" zoomScale="231" zoomScaleNormal="100" zoomScaleSheetLayoutView="231" workbookViewId="0">
      <selection activeCell="AM12" sqref="AM12:AR12"/>
    </sheetView>
  </sheetViews>
  <sheetFormatPr baseColWidth="10" defaultColWidth="2" defaultRowHeight="18"/>
  <cols>
    <col min="1" max="1" width="0.83203125" style="94" customWidth="1"/>
    <col min="2" max="96" width="2" style="94"/>
    <col min="97" max="97" width="0.83203125" style="94" customWidth="1"/>
    <col min="98" max="114" width="2" style="94"/>
    <col min="115" max="115" width="2" style="94" customWidth="1"/>
    <col min="116" max="16384" width="2" style="94"/>
  </cols>
  <sheetData>
    <row r="1" spans="2:65">
      <c r="B1" s="123" t="s">
        <v>470</v>
      </c>
      <c r="C1" s="130"/>
    </row>
    <row r="2" spans="2:65">
      <c r="B2" s="95"/>
      <c r="C2" s="94" t="s">
        <v>246</v>
      </c>
    </row>
    <row r="3" spans="2:65">
      <c r="B3" s="94" t="s">
        <v>310</v>
      </c>
      <c r="C3" s="96" t="s">
        <v>530</v>
      </c>
    </row>
    <row r="4" spans="2:65">
      <c r="B4" s="101" t="s">
        <v>311</v>
      </c>
      <c r="C4" s="96" t="s">
        <v>423</v>
      </c>
    </row>
    <row r="5" spans="2:65">
      <c r="B5" s="101"/>
      <c r="C5" s="101"/>
    </row>
    <row r="6" spans="2:65">
      <c r="B6" s="101"/>
      <c r="C6" s="101"/>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03" t="s">
        <v>247</v>
      </c>
      <c r="AN7" s="903"/>
      <c r="AO7" s="903"/>
      <c r="AP7" s="903"/>
      <c r="AQ7" s="903"/>
      <c r="AR7" s="903"/>
      <c r="AS7" s="903" t="s">
        <v>247</v>
      </c>
      <c r="AT7" s="903"/>
      <c r="AU7" s="903"/>
      <c r="AV7" s="903"/>
      <c r="AW7" s="903"/>
      <c r="AX7" s="903"/>
      <c r="AY7" s="903" t="s">
        <v>248</v>
      </c>
      <c r="AZ7" s="903"/>
      <c r="BA7" s="903"/>
      <c r="BB7" s="903"/>
      <c r="BC7" s="903"/>
      <c r="BD7" s="903"/>
      <c r="BE7" s="97"/>
      <c r="BF7" s="97"/>
      <c r="BG7" s="97"/>
      <c r="BH7" s="98"/>
      <c r="BI7" s="98"/>
      <c r="BJ7" s="97"/>
      <c r="BK7" s="97"/>
      <c r="BL7" s="97"/>
      <c r="BM7" s="99" t="s">
        <v>249</v>
      </c>
    </row>
    <row r="8" spans="2:65">
      <c r="B8" s="904" t="s">
        <v>250</v>
      </c>
      <c r="C8" s="891"/>
      <c r="D8" s="891"/>
      <c r="E8" s="892"/>
      <c r="F8" s="904" t="s">
        <v>251</v>
      </c>
      <c r="G8" s="891"/>
      <c r="H8" s="891"/>
      <c r="I8" s="891"/>
      <c r="J8" s="891"/>
      <c r="K8" s="891"/>
      <c r="L8" s="891"/>
      <c r="M8" s="891"/>
      <c r="N8" s="891"/>
      <c r="O8" s="892"/>
      <c r="P8" s="904" t="s">
        <v>252</v>
      </c>
      <c r="Q8" s="891"/>
      <c r="R8" s="891"/>
      <c r="S8" s="891"/>
      <c r="T8" s="891"/>
      <c r="U8" s="891"/>
      <c r="V8" s="891"/>
      <c r="W8" s="891"/>
      <c r="X8" s="891"/>
      <c r="Y8" s="891"/>
      <c r="Z8" s="891"/>
      <c r="AA8" s="891"/>
      <c r="AB8" s="891"/>
      <c r="AC8" s="892"/>
      <c r="AD8" s="904" t="s">
        <v>253</v>
      </c>
      <c r="AE8" s="891"/>
      <c r="AF8" s="892"/>
      <c r="AG8" s="904" t="s">
        <v>254</v>
      </c>
      <c r="AH8" s="891"/>
      <c r="AI8" s="891"/>
      <c r="AJ8" s="891"/>
      <c r="AK8" s="891"/>
      <c r="AL8" s="892"/>
      <c r="AM8" s="905" t="s">
        <v>255</v>
      </c>
      <c r="AN8" s="905"/>
      <c r="AO8" s="905"/>
      <c r="AP8" s="905"/>
      <c r="AQ8" s="905"/>
      <c r="AR8" s="905"/>
      <c r="AS8" s="904" t="s">
        <v>256</v>
      </c>
      <c r="AT8" s="891"/>
      <c r="AU8" s="891"/>
      <c r="AV8" s="891"/>
      <c r="AW8" s="891"/>
      <c r="AX8" s="892"/>
      <c r="AY8" s="904" t="s">
        <v>257</v>
      </c>
      <c r="AZ8" s="891"/>
      <c r="BA8" s="891"/>
      <c r="BB8" s="891"/>
      <c r="BC8" s="891"/>
      <c r="BD8" s="892"/>
      <c r="BE8" s="891" t="s">
        <v>258</v>
      </c>
      <c r="BF8" s="891"/>
      <c r="BG8" s="891"/>
      <c r="BH8" s="891"/>
      <c r="BI8" s="891"/>
      <c r="BJ8" s="891"/>
      <c r="BK8" s="891"/>
      <c r="BL8" s="891"/>
      <c r="BM8" s="892"/>
    </row>
    <row r="9" spans="2:65">
      <c r="B9" s="893" t="s">
        <v>259</v>
      </c>
      <c r="C9" s="894"/>
      <c r="D9" s="894"/>
      <c r="E9" s="895"/>
      <c r="F9" s="896"/>
      <c r="G9" s="897"/>
      <c r="H9" s="897"/>
      <c r="I9" s="897"/>
      <c r="J9" s="897"/>
      <c r="K9" s="897"/>
      <c r="L9" s="897"/>
      <c r="M9" s="897"/>
      <c r="N9" s="897"/>
      <c r="O9" s="898"/>
      <c r="P9" s="899" t="s">
        <v>260</v>
      </c>
      <c r="Q9" s="899"/>
      <c r="R9" s="899"/>
      <c r="S9" s="899"/>
      <c r="T9" s="899"/>
      <c r="U9" s="899"/>
      <c r="V9" s="899"/>
      <c r="W9" s="899"/>
      <c r="X9" s="899"/>
      <c r="Y9" s="899"/>
      <c r="Z9" s="899"/>
      <c r="AA9" s="899"/>
      <c r="AB9" s="899"/>
      <c r="AC9" s="899"/>
      <c r="AD9" s="899" t="s">
        <v>261</v>
      </c>
      <c r="AE9" s="899"/>
      <c r="AF9" s="899"/>
      <c r="AG9" s="899" t="s">
        <v>262</v>
      </c>
      <c r="AH9" s="899"/>
      <c r="AI9" s="899"/>
      <c r="AJ9" s="899"/>
      <c r="AK9" s="899"/>
      <c r="AL9" s="899"/>
      <c r="AM9" s="899" t="s">
        <v>263</v>
      </c>
      <c r="AN9" s="899"/>
      <c r="AO9" s="899"/>
      <c r="AP9" s="899"/>
      <c r="AQ9" s="899"/>
      <c r="AR9" s="899"/>
      <c r="AS9" s="899" t="s">
        <v>264</v>
      </c>
      <c r="AT9" s="899"/>
      <c r="AU9" s="899"/>
      <c r="AV9" s="899"/>
      <c r="AW9" s="899"/>
      <c r="AX9" s="899"/>
      <c r="AY9" s="899" t="s">
        <v>265</v>
      </c>
      <c r="AZ9" s="899"/>
      <c r="BA9" s="899"/>
      <c r="BB9" s="899"/>
      <c r="BC9" s="899"/>
      <c r="BD9" s="899"/>
      <c r="BE9" s="900" t="s">
        <v>266</v>
      </c>
      <c r="BF9" s="900"/>
      <c r="BG9" s="900"/>
      <c r="BH9" s="901" t="s">
        <v>267</v>
      </c>
      <c r="BI9" s="901"/>
      <c r="BJ9" s="901"/>
      <c r="BK9" s="902" t="s">
        <v>255</v>
      </c>
      <c r="BL9" s="902"/>
      <c r="BM9" s="902"/>
    </row>
    <row r="10" spans="2:65" ht="32.25" customHeight="1">
      <c r="B10" s="881" t="s">
        <v>383</v>
      </c>
      <c r="C10" s="881"/>
      <c r="D10" s="881"/>
      <c r="E10" s="881"/>
      <c r="F10" s="1033" t="s">
        <v>716</v>
      </c>
      <c r="G10" s="1033"/>
      <c r="H10" s="1033"/>
      <c r="I10" s="1033"/>
      <c r="J10" s="1033"/>
      <c r="K10" s="1033"/>
      <c r="L10" s="1033"/>
      <c r="M10" s="1033"/>
      <c r="N10" s="1033"/>
      <c r="O10" s="1033"/>
      <c r="P10" s="950"/>
      <c r="Q10" s="950"/>
      <c r="R10" s="950"/>
      <c r="S10" s="950"/>
      <c r="T10" s="950"/>
      <c r="U10" s="950"/>
      <c r="V10" s="950"/>
      <c r="W10" s="950"/>
      <c r="X10" s="950"/>
      <c r="Y10" s="950"/>
      <c r="Z10" s="950"/>
      <c r="AA10" s="950"/>
      <c r="AB10" s="950"/>
      <c r="AC10" s="950"/>
      <c r="AD10" s="884" t="s">
        <v>202</v>
      </c>
      <c r="AE10" s="884"/>
      <c r="AF10" s="884"/>
      <c r="AG10" s="951">
        <v>1</v>
      </c>
      <c r="AH10" s="951"/>
      <c r="AI10" s="951"/>
      <c r="AJ10" s="951"/>
      <c r="AK10" s="951"/>
      <c r="AL10" s="951"/>
      <c r="AM10" s="951">
        <v>160000</v>
      </c>
      <c r="AN10" s="951"/>
      <c r="AO10" s="951"/>
      <c r="AP10" s="951"/>
      <c r="AQ10" s="951"/>
      <c r="AR10" s="951"/>
      <c r="AS10" s="886">
        <f>IF(AM10="","",AG10*AM10)</f>
        <v>160000</v>
      </c>
      <c r="AT10" s="886"/>
      <c r="AU10" s="886"/>
      <c r="AV10" s="886"/>
      <c r="AW10" s="886"/>
      <c r="AX10" s="886"/>
      <c r="AY10" s="886">
        <f>IF(AM10="","",ROUNDDOWN(AG10*AM10*1.1,0))</f>
        <v>176000</v>
      </c>
      <c r="AZ10" s="886"/>
      <c r="BA10" s="886"/>
      <c r="BB10" s="886"/>
      <c r="BC10" s="886"/>
      <c r="BD10" s="886"/>
      <c r="BE10" s="878" t="str">
        <f>IF(AS10="","",IF(AS10&gt;=300000,"必要",""))</f>
        <v/>
      </c>
      <c r="BF10" s="878"/>
      <c r="BG10" s="878"/>
      <c r="BH10" s="878" t="str">
        <f>IF(AS10="","",IF(AS10&gt;=1000000,"必要",""))</f>
        <v/>
      </c>
      <c r="BI10" s="878"/>
      <c r="BJ10" s="878"/>
      <c r="BK10" s="879" t="str">
        <f>IF(AM10="","",IF(AM10&lt;100000,"×","〇"))</f>
        <v>〇</v>
      </c>
      <c r="BL10" s="879"/>
      <c r="BM10" s="879"/>
    </row>
    <row r="11" spans="2:65" ht="32.25" customHeight="1">
      <c r="B11" s="881" t="s">
        <v>384</v>
      </c>
      <c r="C11" s="881"/>
      <c r="D11" s="881"/>
      <c r="E11" s="881"/>
      <c r="F11" s="1033" t="s">
        <v>717</v>
      </c>
      <c r="G11" s="1033"/>
      <c r="H11" s="1033"/>
      <c r="I11" s="1033"/>
      <c r="J11" s="1033"/>
      <c r="K11" s="1033"/>
      <c r="L11" s="1033"/>
      <c r="M11" s="1033"/>
      <c r="N11" s="1033"/>
      <c r="O11" s="1033"/>
      <c r="P11" s="934"/>
      <c r="Q11" s="934"/>
      <c r="R11" s="934"/>
      <c r="S11" s="934"/>
      <c r="T11" s="934"/>
      <c r="U11" s="934"/>
      <c r="V11" s="934"/>
      <c r="W11" s="934"/>
      <c r="X11" s="934"/>
      <c r="Y11" s="934"/>
      <c r="Z11" s="934"/>
      <c r="AA11" s="934"/>
      <c r="AB11" s="934"/>
      <c r="AC11" s="934"/>
      <c r="AD11" s="884" t="s">
        <v>202</v>
      </c>
      <c r="AE11" s="884"/>
      <c r="AF11" s="884"/>
      <c r="AG11" s="885">
        <v>1</v>
      </c>
      <c r="AH11" s="885"/>
      <c r="AI11" s="885"/>
      <c r="AJ11" s="885"/>
      <c r="AK11" s="885"/>
      <c r="AL11" s="885"/>
      <c r="AM11" s="885">
        <v>160000</v>
      </c>
      <c r="AN11" s="885"/>
      <c r="AO11" s="885"/>
      <c r="AP11" s="885"/>
      <c r="AQ11" s="885"/>
      <c r="AR11" s="885"/>
      <c r="AS11" s="886">
        <f t="shared" ref="AS11:AS19" si="0">IF(AM11="","",AG11*AM11)</f>
        <v>160000</v>
      </c>
      <c r="AT11" s="886"/>
      <c r="AU11" s="886"/>
      <c r="AV11" s="886"/>
      <c r="AW11" s="886"/>
      <c r="AX11" s="886"/>
      <c r="AY11" s="886">
        <f t="shared" ref="AY11:AY19" si="1">IF(AM11="","",ROUNDDOWN(AG11*AM11*1.1,0))</f>
        <v>176000</v>
      </c>
      <c r="AZ11" s="886"/>
      <c r="BA11" s="886"/>
      <c r="BB11" s="886"/>
      <c r="BC11" s="886"/>
      <c r="BD11" s="886"/>
      <c r="BE11" s="878" t="str">
        <f t="shared" ref="BE11:BE18" si="2">IF(AS11="","",IF(AS11&gt;=300000,"必要",""))</f>
        <v/>
      </c>
      <c r="BF11" s="878"/>
      <c r="BG11" s="878"/>
      <c r="BH11" s="878" t="str">
        <f t="shared" ref="BH11:BH19" si="3">IF(AS11="","",IF(AS11&gt;=1000000,"必要",""))</f>
        <v/>
      </c>
      <c r="BI11" s="878"/>
      <c r="BJ11" s="878"/>
      <c r="BK11" s="879" t="str">
        <f t="shared" ref="BK11:BK19" si="4">IF(AM11="","",IF(AM11&lt;100000,"×","〇"))</f>
        <v>〇</v>
      </c>
      <c r="BL11" s="879"/>
      <c r="BM11" s="879"/>
    </row>
    <row r="12" spans="2:65" ht="32.25" customHeight="1">
      <c r="B12" s="881" t="s">
        <v>385</v>
      </c>
      <c r="C12" s="881"/>
      <c r="D12" s="881"/>
      <c r="E12" s="881"/>
      <c r="F12" s="933"/>
      <c r="G12" s="933"/>
      <c r="H12" s="933"/>
      <c r="I12" s="933"/>
      <c r="J12" s="933"/>
      <c r="K12" s="933"/>
      <c r="L12" s="933"/>
      <c r="M12" s="933"/>
      <c r="N12" s="933"/>
      <c r="O12" s="933"/>
      <c r="P12" s="934"/>
      <c r="Q12" s="934"/>
      <c r="R12" s="934"/>
      <c r="S12" s="934"/>
      <c r="T12" s="934"/>
      <c r="U12" s="934"/>
      <c r="V12" s="934"/>
      <c r="W12" s="934"/>
      <c r="X12" s="934"/>
      <c r="Y12" s="934"/>
      <c r="Z12" s="934"/>
      <c r="AA12" s="934"/>
      <c r="AB12" s="934"/>
      <c r="AC12" s="934"/>
      <c r="AD12" s="884" t="s">
        <v>202</v>
      </c>
      <c r="AE12" s="884"/>
      <c r="AF12" s="884"/>
      <c r="AG12" s="885"/>
      <c r="AH12" s="885"/>
      <c r="AI12" s="885"/>
      <c r="AJ12" s="885"/>
      <c r="AK12" s="885"/>
      <c r="AL12" s="885"/>
      <c r="AM12" s="885"/>
      <c r="AN12" s="885"/>
      <c r="AO12" s="885"/>
      <c r="AP12" s="885"/>
      <c r="AQ12" s="885"/>
      <c r="AR12" s="885"/>
      <c r="AS12" s="886" t="str">
        <f t="shared" si="0"/>
        <v/>
      </c>
      <c r="AT12" s="886"/>
      <c r="AU12" s="886"/>
      <c r="AV12" s="886"/>
      <c r="AW12" s="886"/>
      <c r="AX12" s="886"/>
      <c r="AY12" s="886" t="str">
        <f t="shared" si="1"/>
        <v/>
      </c>
      <c r="AZ12" s="886"/>
      <c r="BA12" s="886"/>
      <c r="BB12" s="886"/>
      <c r="BC12" s="886"/>
      <c r="BD12" s="886"/>
      <c r="BE12" s="878" t="str">
        <f t="shared" si="2"/>
        <v/>
      </c>
      <c r="BF12" s="878"/>
      <c r="BG12" s="878"/>
      <c r="BH12" s="878" t="str">
        <f t="shared" si="3"/>
        <v/>
      </c>
      <c r="BI12" s="878"/>
      <c r="BJ12" s="878"/>
      <c r="BK12" s="879" t="str">
        <f t="shared" si="4"/>
        <v/>
      </c>
      <c r="BL12" s="879"/>
      <c r="BM12" s="879"/>
    </row>
    <row r="13" spans="2:65" ht="32.25" customHeight="1">
      <c r="B13" s="881" t="s">
        <v>386</v>
      </c>
      <c r="C13" s="881"/>
      <c r="D13" s="881"/>
      <c r="E13" s="881"/>
      <c r="F13" s="933"/>
      <c r="G13" s="933"/>
      <c r="H13" s="933"/>
      <c r="I13" s="933"/>
      <c r="J13" s="933"/>
      <c r="K13" s="933"/>
      <c r="L13" s="933"/>
      <c r="M13" s="933"/>
      <c r="N13" s="933"/>
      <c r="O13" s="933"/>
      <c r="P13" s="934"/>
      <c r="Q13" s="934"/>
      <c r="R13" s="934"/>
      <c r="S13" s="934"/>
      <c r="T13" s="934"/>
      <c r="U13" s="934"/>
      <c r="V13" s="934"/>
      <c r="W13" s="934"/>
      <c r="X13" s="934"/>
      <c r="Y13" s="934"/>
      <c r="Z13" s="934"/>
      <c r="AA13" s="934"/>
      <c r="AB13" s="934"/>
      <c r="AC13" s="934"/>
      <c r="AD13" s="884" t="s">
        <v>202</v>
      </c>
      <c r="AE13" s="884"/>
      <c r="AF13" s="884"/>
      <c r="AG13" s="885"/>
      <c r="AH13" s="885"/>
      <c r="AI13" s="885"/>
      <c r="AJ13" s="885"/>
      <c r="AK13" s="885"/>
      <c r="AL13" s="885"/>
      <c r="AM13" s="885"/>
      <c r="AN13" s="885"/>
      <c r="AO13" s="885"/>
      <c r="AP13" s="885"/>
      <c r="AQ13" s="885"/>
      <c r="AR13" s="885"/>
      <c r="AS13" s="886" t="str">
        <f t="shared" si="0"/>
        <v/>
      </c>
      <c r="AT13" s="886"/>
      <c r="AU13" s="886"/>
      <c r="AV13" s="886"/>
      <c r="AW13" s="886"/>
      <c r="AX13" s="886"/>
      <c r="AY13" s="886" t="str">
        <f t="shared" si="1"/>
        <v/>
      </c>
      <c r="AZ13" s="886"/>
      <c r="BA13" s="886"/>
      <c r="BB13" s="886"/>
      <c r="BC13" s="886"/>
      <c r="BD13" s="886"/>
      <c r="BE13" s="878" t="str">
        <f t="shared" si="2"/>
        <v/>
      </c>
      <c r="BF13" s="878"/>
      <c r="BG13" s="878"/>
      <c r="BH13" s="878" t="str">
        <f t="shared" si="3"/>
        <v/>
      </c>
      <c r="BI13" s="878"/>
      <c r="BJ13" s="878"/>
      <c r="BK13" s="879" t="str">
        <f t="shared" si="4"/>
        <v/>
      </c>
      <c r="BL13" s="879"/>
      <c r="BM13" s="879"/>
    </row>
    <row r="14" spans="2:65" ht="32.25" customHeight="1">
      <c r="B14" s="881" t="s">
        <v>387</v>
      </c>
      <c r="C14" s="881"/>
      <c r="D14" s="881"/>
      <c r="E14" s="881"/>
      <c r="F14" s="933"/>
      <c r="G14" s="933"/>
      <c r="H14" s="933"/>
      <c r="I14" s="933"/>
      <c r="J14" s="933"/>
      <c r="K14" s="933"/>
      <c r="L14" s="933"/>
      <c r="M14" s="933"/>
      <c r="N14" s="933"/>
      <c r="O14" s="933"/>
      <c r="P14" s="934"/>
      <c r="Q14" s="934"/>
      <c r="R14" s="934"/>
      <c r="S14" s="934"/>
      <c r="T14" s="934"/>
      <c r="U14" s="934"/>
      <c r="V14" s="934"/>
      <c r="W14" s="934"/>
      <c r="X14" s="934"/>
      <c r="Y14" s="934"/>
      <c r="Z14" s="934"/>
      <c r="AA14" s="934"/>
      <c r="AB14" s="934"/>
      <c r="AC14" s="934"/>
      <c r="AD14" s="884" t="s">
        <v>202</v>
      </c>
      <c r="AE14" s="884"/>
      <c r="AF14" s="884"/>
      <c r="AG14" s="885"/>
      <c r="AH14" s="885"/>
      <c r="AI14" s="885"/>
      <c r="AJ14" s="885"/>
      <c r="AK14" s="885"/>
      <c r="AL14" s="885"/>
      <c r="AM14" s="885"/>
      <c r="AN14" s="885"/>
      <c r="AO14" s="885"/>
      <c r="AP14" s="885"/>
      <c r="AQ14" s="885"/>
      <c r="AR14" s="885"/>
      <c r="AS14" s="886" t="str">
        <f t="shared" si="0"/>
        <v/>
      </c>
      <c r="AT14" s="886"/>
      <c r="AU14" s="886"/>
      <c r="AV14" s="886"/>
      <c r="AW14" s="886"/>
      <c r="AX14" s="886"/>
      <c r="AY14" s="886" t="str">
        <f t="shared" si="1"/>
        <v/>
      </c>
      <c r="AZ14" s="886"/>
      <c r="BA14" s="886"/>
      <c r="BB14" s="886"/>
      <c r="BC14" s="886"/>
      <c r="BD14" s="886"/>
      <c r="BE14" s="878" t="str">
        <f t="shared" si="2"/>
        <v/>
      </c>
      <c r="BF14" s="878"/>
      <c r="BG14" s="878"/>
      <c r="BH14" s="878" t="str">
        <f t="shared" si="3"/>
        <v/>
      </c>
      <c r="BI14" s="878"/>
      <c r="BJ14" s="878"/>
      <c r="BK14" s="879" t="str">
        <f t="shared" si="4"/>
        <v/>
      </c>
      <c r="BL14" s="879"/>
      <c r="BM14" s="879"/>
    </row>
    <row r="15" spans="2:65" ht="32.25" customHeight="1">
      <c r="B15" s="881" t="s">
        <v>388</v>
      </c>
      <c r="C15" s="881"/>
      <c r="D15" s="881"/>
      <c r="E15" s="881"/>
      <c r="F15" s="933"/>
      <c r="G15" s="933"/>
      <c r="H15" s="933"/>
      <c r="I15" s="933"/>
      <c r="J15" s="933"/>
      <c r="K15" s="933"/>
      <c r="L15" s="933"/>
      <c r="M15" s="933"/>
      <c r="N15" s="933"/>
      <c r="O15" s="933"/>
      <c r="P15" s="934"/>
      <c r="Q15" s="934"/>
      <c r="R15" s="934"/>
      <c r="S15" s="934"/>
      <c r="T15" s="934"/>
      <c r="U15" s="934"/>
      <c r="V15" s="934"/>
      <c r="W15" s="934"/>
      <c r="X15" s="934"/>
      <c r="Y15" s="934"/>
      <c r="Z15" s="934"/>
      <c r="AA15" s="934"/>
      <c r="AB15" s="934"/>
      <c r="AC15" s="934"/>
      <c r="AD15" s="884" t="s">
        <v>202</v>
      </c>
      <c r="AE15" s="884"/>
      <c r="AF15" s="884"/>
      <c r="AG15" s="885"/>
      <c r="AH15" s="885"/>
      <c r="AI15" s="885"/>
      <c r="AJ15" s="885"/>
      <c r="AK15" s="885"/>
      <c r="AL15" s="885"/>
      <c r="AM15" s="885"/>
      <c r="AN15" s="885"/>
      <c r="AO15" s="885"/>
      <c r="AP15" s="885"/>
      <c r="AQ15" s="885"/>
      <c r="AR15" s="885"/>
      <c r="AS15" s="886" t="str">
        <f t="shared" si="0"/>
        <v/>
      </c>
      <c r="AT15" s="886"/>
      <c r="AU15" s="886"/>
      <c r="AV15" s="886"/>
      <c r="AW15" s="886"/>
      <c r="AX15" s="886"/>
      <c r="AY15" s="886" t="str">
        <f t="shared" si="1"/>
        <v/>
      </c>
      <c r="AZ15" s="886"/>
      <c r="BA15" s="886"/>
      <c r="BB15" s="886"/>
      <c r="BC15" s="886"/>
      <c r="BD15" s="886"/>
      <c r="BE15" s="878" t="str">
        <f t="shared" si="2"/>
        <v/>
      </c>
      <c r="BF15" s="878"/>
      <c r="BG15" s="878"/>
      <c r="BH15" s="878" t="str">
        <f t="shared" si="3"/>
        <v/>
      </c>
      <c r="BI15" s="878"/>
      <c r="BJ15" s="878"/>
      <c r="BK15" s="879" t="str">
        <f t="shared" si="4"/>
        <v/>
      </c>
      <c r="BL15" s="879"/>
      <c r="BM15" s="879"/>
    </row>
    <row r="16" spans="2:65" ht="32.25" customHeight="1">
      <c r="B16" s="881" t="s">
        <v>389</v>
      </c>
      <c r="C16" s="881"/>
      <c r="D16" s="881"/>
      <c r="E16" s="881"/>
      <c r="F16" s="933"/>
      <c r="G16" s="933"/>
      <c r="H16" s="933"/>
      <c r="I16" s="933"/>
      <c r="J16" s="933"/>
      <c r="K16" s="933"/>
      <c r="L16" s="933"/>
      <c r="M16" s="933"/>
      <c r="N16" s="933"/>
      <c r="O16" s="933"/>
      <c r="P16" s="934"/>
      <c r="Q16" s="934"/>
      <c r="R16" s="934"/>
      <c r="S16" s="934"/>
      <c r="T16" s="934"/>
      <c r="U16" s="934"/>
      <c r="V16" s="934"/>
      <c r="W16" s="934"/>
      <c r="X16" s="934"/>
      <c r="Y16" s="934"/>
      <c r="Z16" s="934"/>
      <c r="AA16" s="934"/>
      <c r="AB16" s="934"/>
      <c r="AC16" s="934"/>
      <c r="AD16" s="884" t="s">
        <v>202</v>
      </c>
      <c r="AE16" s="884"/>
      <c r="AF16" s="884"/>
      <c r="AG16" s="885"/>
      <c r="AH16" s="885"/>
      <c r="AI16" s="885"/>
      <c r="AJ16" s="885"/>
      <c r="AK16" s="885"/>
      <c r="AL16" s="885"/>
      <c r="AM16" s="885"/>
      <c r="AN16" s="885"/>
      <c r="AO16" s="885"/>
      <c r="AP16" s="885"/>
      <c r="AQ16" s="885"/>
      <c r="AR16" s="885"/>
      <c r="AS16" s="886" t="str">
        <f t="shared" si="0"/>
        <v/>
      </c>
      <c r="AT16" s="886"/>
      <c r="AU16" s="886"/>
      <c r="AV16" s="886"/>
      <c r="AW16" s="886"/>
      <c r="AX16" s="886"/>
      <c r="AY16" s="886" t="str">
        <f t="shared" si="1"/>
        <v/>
      </c>
      <c r="AZ16" s="886"/>
      <c r="BA16" s="886"/>
      <c r="BB16" s="886"/>
      <c r="BC16" s="886"/>
      <c r="BD16" s="886"/>
      <c r="BE16" s="878" t="str">
        <f t="shared" si="2"/>
        <v/>
      </c>
      <c r="BF16" s="878"/>
      <c r="BG16" s="878"/>
      <c r="BH16" s="878" t="str">
        <f t="shared" si="3"/>
        <v/>
      </c>
      <c r="BI16" s="878"/>
      <c r="BJ16" s="878"/>
      <c r="BK16" s="879" t="str">
        <f t="shared" si="4"/>
        <v/>
      </c>
      <c r="BL16" s="879"/>
      <c r="BM16" s="879"/>
    </row>
    <row r="17" spans="2:65" ht="32.25" customHeight="1">
      <c r="B17" s="881" t="s">
        <v>390</v>
      </c>
      <c r="C17" s="881"/>
      <c r="D17" s="881"/>
      <c r="E17" s="881"/>
      <c r="F17" s="933"/>
      <c r="G17" s="933"/>
      <c r="H17" s="933"/>
      <c r="I17" s="933"/>
      <c r="J17" s="933"/>
      <c r="K17" s="933"/>
      <c r="L17" s="933"/>
      <c r="M17" s="933"/>
      <c r="N17" s="933"/>
      <c r="O17" s="933"/>
      <c r="P17" s="934"/>
      <c r="Q17" s="934"/>
      <c r="R17" s="934"/>
      <c r="S17" s="934"/>
      <c r="T17" s="934"/>
      <c r="U17" s="934"/>
      <c r="V17" s="934"/>
      <c r="W17" s="934"/>
      <c r="X17" s="934"/>
      <c r="Y17" s="934"/>
      <c r="Z17" s="934"/>
      <c r="AA17" s="934"/>
      <c r="AB17" s="934"/>
      <c r="AC17" s="934"/>
      <c r="AD17" s="884" t="s">
        <v>202</v>
      </c>
      <c r="AE17" s="884"/>
      <c r="AF17" s="884"/>
      <c r="AG17" s="885"/>
      <c r="AH17" s="885"/>
      <c r="AI17" s="885"/>
      <c r="AJ17" s="885"/>
      <c r="AK17" s="885"/>
      <c r="AL17" s="885"/>
      <c r="AM17" s="885"/>
      <c r="AN17" s="885"/>
      <c r="AO17" s="885"/>
      <c r="AP17" s="885"/>
      <c r="AQ17" s="885"/>
      <c r="AR17" s="885"/>
      <c r="AS17" s="886" t="str">
        <f t="shared" si="0"/>
        <v/>
      </c>
      <c r="AT17" s="886"/>
      <c r="AU17" s="886"/>
      <c r="AV17" s="886"/>
      <c r="AW17" s="886"/>
      <c r="AX17" s="886"/>
      <c r="AY17" s="886" t="str">
        <f t="shared" si="1"/>
        <v/>
      </c>
      <c r="AZ17" s="886"/>
      <c r="BA17" s="886"/>
      <c r="BB17" s="886"/>
      <c r="BC17" s="886"/>
      <c r="BD17" s="886"/>
      <c r="BE17" s="878" t="str">
        <f t="shared" si="2"/>
        <v/>
      </c>
      <c r="BF17" s="878"/>
      <c r="BG17" s="878"/>
      <c r="BH17" s="878" t="str">
        <f t="shared" si="3"/>
        <v/>
      </c>
      <c r="BI17" s="878"/>
      <c r="BJ17" s="878"/>
      <c r="BK17" s="879" t="str">
        <f t="shared" si="4"/>
        <v/>
      </c>
      <c r="BL17" s="879"/>
      <c r="BM17" s="879"/>
    </row>
    <row r="18" spans="2:65" ht="32.25" customHeight="1">
      <c r="B18" s="881" t="s">
        <v>391</v>
      </c>
      <c r="C18" s="881"/>
      <c r="D18" s="881"/>
      <c r="E18" s="881"/>
      <c r="F18" s="933"/>
      <c r="G18" s="933"/>
      <c r="H18" s="933"/>
      <c r="I18" s="933"/>
      <c r="J18" s="933"/>
      <c r="K18" s="933"/>
      <c r="L18" s="933"/>
      <c r="M18" s="933"/>
      <c r="N18" s="933"/>
      <c r="O18" s="933"/>
      <c r="P18" s="934"/>
      <c r="Q18" s="934"/>
      <c r="R18" s="934"/>
      <c r="S18" s="934"/>
      <c r="T18" s="934"/>
      <c r="U18" s="934"/>
      <c r="V18" s="934"/>
      <c r="W18" s="934"/>
      <c r="X18" s="934"/>
      <c r="Y18" s="934"/>
      <c r="Z18" s="934"/>
      <c r="AA18" s="934"/>
      <c r="AB18" s="934"/>
      <c r="AC18" s="934"/>
      <c r="AD18" s="884" t="s">
        <v>202</v>
      </c>
      <c r="AE18" s="884"/>
      <c r="AF18" s="884"/>
      <c r="AG18" s="885"/>
      <c r="AH18" s="885"/>
      <c r="AI18" s="885"/>
      <c r="AJ18" s="885"/>
      <c r="AK18" s="885"/>
      <c r="AL18" s="885"/>
      <c r="AM18" s="885"/>
      <c r="AN18" s="885"/>
      <c r="AO18" s="885"/>
      <c r="AP18" s="885"/>
      <c r="AQ18" s="885"/>
      <c r="AR18" s="885"/>
      <c r="AS18" s="886" t="str">
        <f t="shared" si="0"/>
        <v/>
      </c>
      <c r="AT18" s="886"/>
      <c r="AU18" s="886"/>
      <c r="AV18" s="886"/>
      <c r="AW18" s="886"/>
      <c r="AX18" s="886"/>
      <c r="AY18" s="886" t="str">
        <f t="shared" si="1"/>
        <v/>
      </c>
      <c r="AZ18" s="886"/>
      <c r="BA18" s="886"/>
      <c r="BB18" s="886"/>
      <c r="BC18" s="886"/>
      <c r="BD18" s="886"/>
      <c r="BE18" s="878" t="str">
        <f t="shared" si="2"/>
        <v/>
      </c>
      <c r="BF18" s="878"/>
      <c r="BG18" s="878"/>
      <c r="BH18" s="878" t="str">
        <f t="shared" si="3"/>
        <v/>
      </c>
      <c r="BI18" s="878"/>
      <c r="BJ18" s="878"/>
      <c r="BK18" s="879" t="str">
        <f t="shared" si="4"/>
        <v/>
      </c>
      <c r="BL18" s="879"/>
      <c r="BM18" s="879"/>
    </row>
    <row r="19" spans="2:65" ht="32.25" customHeight="1">
      <c r="B19" s="881" t="s">
        <v>392</v>
      </c>
      <c r="C19" s="881"/>
      <c r="D19" s="881"/>
      <c r="E19" s="881"/>
      <c r="F19" s="933"/>
      <c r="G19" s="933"/>
      <c r="H19" s="933"/>
      <c r="I19" s="933"/>
      <c r="J19" s="933"/>
      <c r="K19" s="933"/>
      <c r="L19" s="933"/>
      <c r="M19" s="933"/>
      <c r="N19" s="933"/>
      <c r="O19" s="933"/>
      <c r="P19" s="934"/>
      <c r="Q19" s="934"/>
      <c r="R19" s="934"/>
      <c r="S19" s="934"/>
      <c r="T19" s="934"/>
      <c r="U19" s="934"/>
      <c r="V19" s="934"/>
      <c r="W19" s="934"/>
      <c r="X19" s="934"/>
      <c r="Y19" s="934"/>
      <c r="Z19" s="934"/>
      <c r="AA19" s="934"/>
      <c r="AB19" s="934"/>
      <c r="AC19" s="934"/>
      <c r="AD19" s="884" t="s">
        <v>202</v>
      </c>
      <c r="AE19" s="884"/>
      <c r="AF19" s="884"/>
      <c r="AG19" s="885"/>
      <c r="AH19" s="885"/>
      <c r="AI19" s="885"/>
      <c r="AJ19" s="885"/>
      <c r="AK19" s="885"/>
      <c r="AL19" s="885"/>
      <c r="AM19" s="885"/>
      <c r="AN19" s="885"/>
      <c r="AO19" s="885"/>
      <c r="AP19" s="885"/>
      <c r="AQ19" s="885"/>
      <c r="AR19" s="885"/>
      <c r="AS19" s="886" t="str">
        <f t="shared" si="0"/>
        <v/>
      </c>
      <c r="AT19" s="886"/>
      <c r="AU19" s="886"/>
      <c r="AV19" s="886"/>
      <c r="AW19" s="886"/>
      <c r="AX19" s="886"/>
      <c r="AY19" s="886" t="str">
        <f t="shared" si="1"/>
        <v/>
      </c>
      <c r="AZ19" s="886"/>
      <c r="BA19" s="886"/>
      <c r="BB19" s="886"/>
      <c r="BC19" s="886"/>
      <c r="BD19" s="886"/>
      <c r="BE19" s="878" t="str">
        <f>IF(AS19="","",IF(AS19&gt;=300000,"必要",""))</f>
        <v/>
      </c>
      <c r="BF19" s="878"/>
      <c r="BG19" s="878"/>
      <c r="BH19" s="878" t="str">
        <f t="shared" si="3"/>
        <v/>
      </c>
      <c r="BI19" s="878"/>
      <c r="BJ19" s="878"/>
      <c r="BK19" s="879" t="str">
        <f t="shared" si="4"/>
        <v/>
      </c>
      <c r="BL19" s="879"/>
      <c r="BM19" s="879"/>
    </row>
    <row r="20" spans="2:65" ht="32.25" customHeight="1">
      <c r="AM20" s="887" t="s">
        <v>34</v>
      </c>
      <c r="AN20" s="887"/>
      <c r="AO20" s="887"/>
      <c r="AP20" s="887"/>
      <c r="AQ20" s="887"/>
      <c r="AR20" s="888"/>
      <c r="AS20" s="889">
        <f>SUM(AS10:AX19)</f>
        <v>320000</v>
      </c>
      <c r="AT20" s="889"/>
      <c r="AU20" s="889"/>
      <c r="AV20" s="889"/>
      <c r="AW20" s="889"/>
      <c r="AX20" s="889"/>
      <c r="AY20" s="889">
        <f>SUM(AY10:BD19)</f>
        <v>352000</v>
      </c>
      <c r="AZ20" s="889"/>
      <c r="BA20" s="889"/>
      <c r="BB20" s="889"/>
      <c r="BC20" s="889"/>
      <c r="BD20" s="889"/>
    </row>
    <row r="22" spans="2:65">
      <c r="B22" s="130" t="s">
        <v>393</v>
      </c>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row>
    <row r="23" spans="2:65" ht="23.5" customHeight="1">
      <c r="B23" s="923" t="s">
        <v>432</v>
      </c>
      <c r="C23" s="929"/>
      <c r="D23" s="929"/>
      <c r="E23" s="930"/>
      <c r="F23" s="920"/>
      <c r="G23" s="921"/>
      <c r="H23" s="921"/>
      <c r="I23" s="921"/>
      <c r="J23" s="922"/>
      <c r="K23" s="1030" t="s">
        <v>440</v>
      </c>
      <c r="L23" s="906"/>
      <c r="M23" s="906"/>
      <c r="N23" s="906"/>
      <c r="O23" s="906"/>
      <c r="P23" s="920"/>
      <c r="Q23" s="921"/>
      <c r="R23" s="921"/>
      <c r="S23" s="921"/>
      <c r="T23" s="921"/>
      <c r="U23" s="921"/>
      <c r="V23" s="921"/>
      <c r="W23" s="921"/>
      <c r="X23" s="921"/>
      <c r="Y23" s="921"/>
      <c r="Z23" s="921"/>
      <c r="AA23" s="921"/>
      <c r="AB23" s="921"/>
      <c r="AC23" s="921"/>
      <c r="AD23" s="921"/>
      <c r="AE23" s="921"/>
      <c r="AF23" s="921"/>
      <c r="AG23" s="921"/>
      <c r="AH23" s="921"/>
      <c r="AI23" s="921"/>
      <c r="AJ23" s="921"/>
      <c r="AK23" s="922"/>
      <c r="AL23" s="1029" t="s">
        <v>441</v>
      </c>
      <c r="AM23" s="924"/>
      <c r="AN23" s="924"/>
      <c r="AO23" s="924"/>
      <c r="AP23" s="924"/>
      <c r="AQ23" s="925"/>
      <c r="AR23" s="926"/>
      <c r="AS23" s="927"/>
      <c r="AT23" s="927"/>
      <c r="AU23" s="927"/>
      <c r="AV23" s="927"/>
      <c r="AW23" s="927"/>
      <c r="AX23" s="927"/>
      <c r="AY23" s="927"/>
      <c r="AZ23" s="927"/>
      <c r="BA23" s="927"/>
      <c r="BB23" s="927"/>
      <c r="BC23" s="927"/>
      <c r="BD23" s="927"/>
      <c r="BE23" s="927"/>
      <c r="BF23" s="927"/>
      <c r="BG23" s="927"/>
      <c r="BH23" s="927"/>
      <c r="BI23" s="927"/>
      <c r="BJ23" s="927"/>
      <c r="BK23" s="927"/>
      <c r="BL23" s="927"/>
      <c r="BM23" s="928"/>
    </row>
    <row r="24" spans="2:65" ht="23.5" customHeight="1">
      <c r="B24" s="1026" t="s">
        <v>442</v>
      </c>
      <c r="C24" s="910"/>
      <c r="D24" s="910"/>
      <c r="E24" s="910"/>
      <c r="F24" s="910"/>
      <c r="G24" s="910"/>
      <c r="H24" s="910"/>
      <c r="I24" s="910"/>
      <c r="J24" s="910"/>
      <c r="K24" s="910"/>
      <c r="L24" s="910"/>
      <c r="M24" s="910"/>
      <c r="N24" s="910"/>
      <c r="O24" s="911"/>
      <c r="P24" s="1031" t="s">
        <v>455</v>
      </c>
      <c r="Q24" s="1032"/>
      <c r="R24" s="1032"/>
      <c r="S24" s="1032"/>
      <c r="T24" s="1032"/>
      <c r="U24" s="1032"/>
      <c r="V24" s="1032"/>
      <c r="W24" s="1032"/>
      <c r="X24" s="1032"/>
      <c r="Y24" s="1032"/>
      <c r="Z24" s="1032"/>
      <c r="AA24" s="1032"/>
      <c r="AB24" s="1032"/>
      <c r="AC24" s="1032"/>
      <c r="AD24" s="1032"/>
      <c r="AE24" s="1032"/>
      <c r="AF24" s="1032"/>
      <c r="AG24" s="1032"/>
      <c r="AH24" s="1032"/>
      <c r="AI24" s="1032"/>
      <c r="AJ24" s="1032"/>
      <c r="AK24" s="1032"/>
      <c r="AL24" s="1032"/>
      <c r="AM24" s="1032"/>
      <c r="AN24" s="1032"/>
      <c r="AO24" s="1032"/>
      <c r="AP24" s="1032"/>
      <c r="AQ24" s="1032"/>
      <c r="AR24" s="1032"/>
      <c r="AS24" s="1032"/>
      <c r="AT24" s="1032"/>
      <c r="AU24" s="1032"/>
      <c r="AV24" s="1032"/>
      <c r="AW24" s="1032"/>
      <c r="AX24" s="1032"/>
      <c r="AY24" s="1032"/>
      <c r="AZ24" s="1032"/>
      <c r="BA24" s="1032"/>
      <c r="BB24" s="1032"/>
      <c r="BC24" s="1032"/>
      <c r="BD24" s="1032"/>
      <c r="BE24" s="1032"/>
      <c r="BF24" s="1032"/>
      <c r="BG24" s="1032"/>
      <c r="BH24" s="1032"/>
      <c r="BI24" s="1032"/>
      <c r="BJ24" s="1032"/>
      <c r="BK24" s="1032"/>
      <c r="BL24" s="1032"/>
      <c r="BM24" s="1032"/>
    </row>
    <row r="25" spans="2:65" ht="23.5" customHeight="1">
      <c r="B25" s="1026" t="s">
        <v>443</v>
      </c>
      <c r="C25" s="910"/>
      <c r="D25" s="910"/>
      <c r="E25" s="910"/>
      <c r="F25" s="910"/>
      <c r="G25" s="910"/>
      <c r="H25" s="910"/>
      <c r="I25" s="910"/>
      <c r="J25" s="910"/>
      <c r="K25" s="910"/>
      <c r="L25" s="910"/>
      <c r="M25" s="910"/>
      <c r="N25" s="910"/>
      <c r="O25" s="911"/>
      <c r="P25" s="920"/>
      <c r="Q25" s="921"/>
      <c r="R25" s="921"/>
      <c r="S25" s="921"/>
      <c r="T25" s="921"/>
      <c r="U25" s="921"/>
      <c r="V25" s="921"/>
      <c r="W25" s="921"/>
      <c r="X25" s="921"/>
      <c r="Y25" s="921"/>
      <c r="Z25" s="921"/>
      <c r="AA25" s="921"/>
      <c r="AB25" s="921"/>
      <c r="AC25" s="921"/>
      <c r="AD25" s="921"/>
      <c r="AE25" s="921"/>
      <c r="AF25" s="921"/>
      <c r="AG25" s="921"/>
      <c r="AH25" s="921"/>
      <c r="AI25" s="921"/>
      <c r="AJ25" s="921"/>
      <c r="AK25" s="921"/>
      <c r="AL25" s="921"/>
      <c r="AM25" s="921"/>
      <c r="AN25" s="921"/>
      <c r="AO25" s="921"/>
      <c r="AP25" s="921"/>
      <c r="AQ25" s="921"/>
      <c r="AR25" s="921"/>
      <c r="AS25" s="921"/>
      <c r="AT25" s="921"/>
      <c r="AU25" s="921"/>
      <c r="AV25" s="921"/>
      <c r="AW25" s="921"/>
      <c r="AX25" s="921"/>
      <c r="AY25" s="921"/>
      <c r="AZ25" s="921"/>
      <c r="BA25" s="921"/>
      <c r="BB25" s="921"/>
      <c r="BC25" s="921"/>
      <c r="BD25" s="921"/>
      <c r="BE25" s="921"/>
      <c r="BF25" s="921"/>
      <c r="BG25" s="921"/>
      <c r="BH25" s="921"/>
      <c r="BI25" s="921"/>
      <c r="BJ25" s="921"/>
      <c r="BK25" s="921"/>
      <c r="BL25" s="921"/>
      <c r="BM25" s="922"/>
    </row>
    <row r="26" spans="2:65" s="205" customFormat="1" ht="23.5" customHeight="1">
      <c r="B26" s="912" t="s">
        <v>456</v>
      </c>
      <c r="C26" s="913"/>
      <c r="D26" s="913"/>
      <c r="E26" s="913"/>
      <c r="F26" s="913"/>
      <c r="G26" s="913"/>
      <c r="H26" s="913"/>
      <c r="I26" s="913"/>
      <c r="J26" s="913"/>
      <c r="K26" s="913"/>
      <c r="L26" s="913"/>
      <c r="M26" s="913"/>
      <c r="N26" s="913"/>
      <c r="O26" s="914"/>
      <c r="P26" s="915"/>
      <c r="Q26" s="916"/>
      <c r="R26" s="916"/>
      <c r="S26" s="916"/>
      <c r="T26" s="916"/>
      <c r="U26" s="916"/>
      <c r="V26" s="916"/>
      <c r="W26" s="916"/>
      <c r="X26" s="916"/>
      <c r="Y26" s="916"/>
      <c r="Z26" s="916"/>
      <c r="AA26" s="916"/>
      <c r="AB26" s="916"/>
      <c r="AC26" s="916"/>
      <c r="AD26" s="916"/>
      <c r="AE26" s="916"/>
      <c r="AF26" s="916"/>
      <c r="AG26" s="916"/>
      <c r="AH26" s="916"/>
      <c r="AI26" s="916"/>
      <c r="AJ26" s="916"/>
      <c r="AK26" s="916"/>
      <c r="AL26" s="916"/>
      <c r="AM26" s="916"/>
      <c r="AN26" s="916"/>
      <c r="AO26" s="916"/>
      <c r="AP26" s="916"/>
      <c r="AQ26" s="916"/>
      <c r="AR26" s="916"/>
      <c r="AS26" s="916"/>
      <c r="AT26" s="916"/>
      <c r="AU26" s="916"/>
      <c r="AV26" s="916"/>
      <c r="AW26" s="916"/>
      <c r="AX26" s="916"/>
      <c r="AY26" s="916"/>
      <c r="AZ26" s="916"/>
      <c r="BA26" s="916"/>
      <c r="BB26" s="916"/>
      <c r="BC26" s="916"/>
      <c r="BD26" s="916"/>
      <c r="BE26" s="916"/>
      <c r="BF26" s="916"/>
      <c r="BG26" s="916"/>
      <c r="BH26" s="916"/>
      <c r="BI26" s="916"/>
      <c r="BJ26" s="916"/>
      <c r="BK26" s="916"/>
      <c r="BL26" s="916"/>
      <c r="BM26" s="917"/>
    </row>
    <row r="27" spans="2:65">
      <c r="B27" s="130"/>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row>
    <row r="28" spans="2:65">
      <c r="B28" s="130" t="s">
        <v>394</v>
      </c>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AY28" s="130"/>
      <c r="AZ28" s="130"/>
      <c r="BA28" s="130"/>
      <c r="BB28" s="130"/>
      <c r="BC28" s="130"/>
      <c r="BD28" s="130"/>
      <c r="BE28" s="130"/>
      <c r="BF28" s="130"/>
      <c r="BG28" s="130"/>
      <c r="BH28" s="130"/>
      <c r="BI28" s="130"/>
      <c r="BJ28" s="130"/>
      <c r="BK28" s="130"/>
      <c r="BL28" s="130"/>
      <c r="BM28" s="130"/>
    </row>
    <row r="29" spans="2:65" ht="23.5" customHeight="1">
      <c r="B29" s="923" t="s">
        <v>432</v>
      </c>
      <c r="C29" s="929"/>
      <c r="D29" s="929"/>
      <c r="E29" s="930"/>
      <c r="F29" s="920"/>
      <c r="G29" s="921"/>
      <c r="H29" s="921"/>
      <c r="I29" s="921"/>
      <c r="J29" s="922"/>
      <c r="K29" s="1027" t="s">
        <v>444</v>
      </c>
      <c r="L29" s="1028"/>
      <c r="M29" s="1028"/>
      <c r="N29" s="1028"/>
      <c r="O29" s="1028"/>
      <c r="P29" s="920"/>
      <c r="Q29" s="921"/>
      <c r="R29" s="921"/>
      <c r="S29" s="921"/>
      <c r="T29" s="921"/>
      <c r="U29" s="921"/>
      <c r="V29" s="921"/>
      <c r="W29" s="921"/>
      <c r="X29" s="921"/>
      <c r="Y29" s="921"/>
      <c r="Z29" s="921"/>
      <c r="AA29" s="921"/>
      <c r="AB29" s="921"/>
      <c r="AC29" s="921"/>
      <c r="AD29" s="921"/>
      <c r="AE29" s="921"/>
      <c r="AF29" s="921"/>
      <c r="AG29" s="921"/>
      <c r="AH29" s="921"/>
      <c r="AI29" s="921"/>
      <c r="AJ29" s="921"/>
      <c r="AK29" s="922"/>
      <c r="AL29" s="1029" t="s">
        <v>445</v>
      </c>
      <c r="AM29" s="924"/>
      <c r="AN29" s="924"/>
      <c r="AO29" s="924"/>
      <c r="AP29" s="924"/>
      <c r="AQ29" s="925"/>
      <c r="AR29" s="926"/>
      <c r="AS29" s="927"/>
      <c r="AT29" s="927"/>
      <c r="AU29" s="927"/>
      <c r="AV29" s="927"/>
      <c r="AW29" s="927"/>
      <c r="AX29" s="927"/>
      <c r="AY29" s="927"/>
      <c r="AZ29" s="927"/>
      <c r="BA29" s="927"/>
      <c r="BB29" s="927"/>
      <c r="BC29" s="927"/>
      <c r="BD29" s="927"/>
      <c r="BE29" s="927"/>
      <c r="BF29" s="927"/>
      <c r="BG29" s="927"/>
      <c r="BH29" s="927"/>
      <c r="BI29" s="927"/>
      <c r="BJ29" s="927"/>
      <c r="BK29" s="927"/>
      <c r="BL29" s="927"/>
      <c r="BM29" s="928"/>
    </row>
    <row r="30" spans="2:65" s="205" customFormat="1" ht="23.5" customHeight="1">
      <c r="B30" s="912" t="s">
        <v>457</v>
      </c>
      <c r="C30" s="913"/>
      <c r="D30" s="913"/>
      <c r="E30" s="913"/>
      <c r="F30" s="913"/>
      <c r="G30" s="913"/>
      <c r="H30" s="913"/>
      <c r="I30" s="913"/>
      <c r="J30" s="913"/>
      <c r="K30" s="913"/>
      <c r="L30" s="913"/>
      <c r="M30" s="913"/>
      <c r="N30" s="913"/>
      <c r="O30" s="914"/>
      <c r="P30" s="915" t="s">
        <v>454</v>
      </c>
      <c r="Q30" s="916"/>
      <c r="R30" s="916"/>
      <c r="S30" s="916"/>
      <c r="T30" s="916"/>
      <c r="U30" s="916"/>
      <c r="V30" s="916"/>
      <c r="W30" s="916"/>
      <c r="X30" s="916"/>
      <c r="Y30" s="916"/>
      <c r="Z30" s="916"/>
      <c r="AA30" s="916"/>
      <c r="AB30" s="916"/>
      <c r="AC30" s="916"/>
      <c r="AD30" s="916"/>
      <c r="AE30" s="916"/>
      <c r="AF30" s="916"/>
      <c r="AG30" s="916"/>
      <c r="AH30" s="916"/>
      <c r="AI30" s="916"/>
      <c r="AJ30" s="916"/>
      <c r="AK30" s="916"/>
      <c r="AL30" s="916"/>
      <c r="AM30" s="916"/>
      <c r="AN30" s="916"/>
      <c r="AO30" s="916"/>
      <c r="AP30" s="916"/>
      <c r="AQ30" s="916"/>
      <c r="AR30" s="916"/>
      <c r="AS30" s="916"/>
      <c r="AT30" s="916"/>
      <c r="AU30" s="916"/>
      <c r="AV30" s="916"/>
      <c r="AW30" s="916"/>
      <c r="AX30" s="916"/>
      <c r="AY30" s="916"/>
      <c r="AZ30" s="916"/>
      <c r="BA30" s="916"/>
      <c r="BB30" s="916"/>
      <c r="BC30" s="916"/>
      <c r="BD30" s="916"/>
      <c r="BE30" s="916"/>
      <c r="BF30" s="916"/>
      <c r="BG30" s="916"/>
      <c r="BH30" s="916"/>
      <c r="BI30" s="916"/>
      <c r="BJ30" s="916"/>
      <c r="BK30" s="916"/>
      <c r="BL30" s="916"/>
      <c r="BM30" s="917"/>
    </row>
    <row r="31" spans="2:65" s="205" customFormat="1" ht="23.5" customHeight="1">
      <c r="B31" s="912" t="s">
        <v>458</v>
      </c>
      <c r="C31" s="913"/>
      <c r="D31" s="913"/>
      <c r="E31" s="913"/>
      <c r="F31" s="913"/>
      <c r="G31" s="913"/>
      <c r="H31" s="913"/>
      <c r="I31" s="913"/>
      <c r="J31" s="913"/>
      <c r="K31" s="913"/>
      <c r="L31" s="913"/>
      <c r="M31" s="913"/>
      <c r="N31" s="913"/>
      <c r="O31" s="914"/>
      <c r="P31" s="915"/>
      <c r="Q31" s="916"/>
      <c r="R31" s="916"/>
      <c r="S31" s="916"/>
      <c r="T31" s="916"/>
      <c r="U31" s="916"/>
      <c r="V31" s="916"/>
      <c r="W31" s="916"/>
      <c r="X31" s="916"/>
      <c r="Y31" s="916"/>
      <c r="Z31" s="916"/>
      <c r="AA31" s="916"/>
      <c r="AB31" s="916"/>
      <c r="AC31" s="916"/>
      <c r="AD31" s="916"/>
      <c r="AE31" s="916"/>
      <c r="AF31" s="916"/>
      <c r="AG31" s="916"/>
      <c r="AH31" s="916"/>
      <c r="AI31" s="916"/>
      <c r="AJ31" s="916"/>
      <c r="AK31" s="916"/>
      <c r="AL31" s="916"/>
      <c r="AM31" s="916"/>
      <c r="AN31" s="916"/>
      <c r="AO31" s="916"/>
      <c r="AP31" s="916"/>
      <c r="AQ31" s="916"/>
      <c r="AR31" s="916"/>
      <c r="AS31" s="916"/>
      <c r="AT31" s="916"/>
      <c r="AU31" s="916"/>
      <c r="AV31" s="916"/>
      <c r="AW31" s="916"/>
      <c r="AX31" s="916"/>
      <c r="AY31" s="916"/>
      <c r="AZ31" s="916"/>
      <c r="BA31" s="916"/>
      <c r="BB31" s="916"/>
      <c r="BC31" s="916"/>
      <c r="BD31" s="916"/>
      <c r="BE31" s="916"/>
      <c r="BF31" s="916"/>
      <c r="BG31" s="916"/>
      <c r="BH31" s="916"/>
      <c r="BI31" s="916"/>
      <c r="BJ31" s="916"/>
      <c r="BK31" s="916"/>
      <c r="BL31" s="916"/>
      <c r="BM31" s="917"/>
    </row>
  </sheetData>
  <mergeCells count="158">
    <mergeCell ref="AM7:AR7"/>
    <mergeCell ref="AS7:AX7"/>
    <mergeCell ref="AY7:BD7"/>
    <mergeCell ref="B8:E8"/>
    <mergeCell ref="F8:O8"/>
    <mergeCell ref="P8:AC8"/>
    <mergeCell ref="AD8:AF8"/>
    <mergeCell ref="AG8:AL8"/>
    <mergeCell ref="AM8:AR8"/>
    <mergeCell ref="AS8:AX8"/>
    <mergeCell ref="AY8:BD8"/>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F11:O11"/>
    <mergeCell ref="P11:AC11"/>
    <mergeCell ref="AD11:AF11"/>
    <mergeCell ref="AG11:AL11"/>
    <mergeCell ref="AM11:AR11"/>
    <mergeCell ref="B10:E10"/>
    <mergeCell ref="F10:O10"/>
    <mergeCell ref="P10:AC10"/>
    <mergeCell ref="AD10:AF10"/>
    <mergeCell ref="AG10:AL10"/>
    <mergeCell ref="AM10:AR10"/>
    <mergeCell ref="AS10:AX10"/>
    <mergeCell ref="AY12:BD12"/>
    <mergeCell ref="BE12:BG12"/>
    <mergeCell ref="BH12:BJ12"/>
    <mergeCell ref="BK12:BM12"/>
    <mergeCell ref="AS11:AX11"/>
    <mergeCell ref="AY11:BD11"/>
    <mergeCell ref="BE11:BG11"/>
    <mergeCell ref="BH11:BJ11"/>
    <mergeCell ref="BK11:BM11"/>
    <mergeCell ref="B14:E14"/>
    <mergeCell ref="F14:O14"/>
    <mergeCell ref="P14:AC14"/>
    <mergeCell ref="AD14:AF14"/>
    <mergeCell ref="AG14:AL14"/>
    <mergeCell ref="B13:E13"/>
    <mergeCell ref="F13:O13"/>
    <mergeCell ref="P13:AC13"/>
    <mergeCell ref="AD13:AF13"/>
    <mergeCell ref="AG13:AL13"/>
    <mergeCell ref="AM14:AR14"/>
    <mergeCell ref="AS14:AX14"/>
    <mergeCell ref="AY14:BD14"/>
    <mergeCell ref="BE14:BG14"/>
    <mergeCell ref="BH14:BJ14"/>
    <mergeCell ref="BK14:BM14"/>
    <mergeCell ref="AS13:AX13"/>
    <mergeCell ref="AY13:BD13"/>
    <mergeCell ref="BE13:BG13"/>
    <mergeCell ref="BH13:BJ13"/>
    <mergeCell ref="BK13:BM13"/>
    <mergeCell ref="AM13:AR13"/>
    <mergeCell ref="B16:E16"/>
    <mergeCell ref="F16:O16"/>
    <mergeCell ref="P16:AC16"/>
    <mergeCell ref="AD16:AF16"/>
    <mergeCell ref="AG16:AL16"/>
    <mergeCell ref="B15:E15"/>
    <mergeCell ref="F15:O15"/>
    <mergeCell ref="P15:AC15"/>
    <mergeCell ref="AD15:AF15"/>
    <mergeCell ref="AG15:AL15"/>
    <mergeCell ref="AM16:AR16"/>
    <mergeCell ref="AS16:AX16"/>
    <mergeCell ref="AY16:BD16"/>
    <mergeCell ref="BE16:BG16"/>
    <mergeCell ref="BH16:BJ16"/>
    <mergeCell ref="BK16:BM16"/>
    <mergeCell ref="AS15:AX15"/>
    <mergeCell ref="AY15:BD15"/>
    <mergeCell ref="BE15:BG15"/>
    <mergeCell ref="BH15:BJ15"/>
    <mergeCell ref="BK15:BM15"/>
    <mergeCell ref="AM15:AR15"/>
    <mergeCell ref="B18:E18"/>
    <mergeCell ref="F18:O18"/>
    <mergeCell ref="P18:AC18"/>
    <mergeCell ref="AD18:AF18"/>
    <mergeCell ref="AG18:AL18"/>
    <mergeCell ref="B17:E17"/>
    <mergeCell ref="F17:O17"/>
    <mergeCell ref="P17:AC17"/>
    <mergeCell ref="AD17:AF17"/>
    <mergeCell ref="AG17:AL17"/>
    <mergeCell ref="AM18:AR18"/>
    <mergeCell ref="AS18:AX18"/>
    <mergeCell ref="AY18:BD18"/>
    <mergeCell ref="BE18:BG18"/>
    <mergeCell ref="BH18:BJ18"/>
    <mergeCell ref="BK18:BM18"/>
    <mergeCell ref="AS17:AX17"/>
    <mergeCell ref="AY17:BD17"/>
    <mergeCell ref="BE17:BG17"/>
    <mergeCell ref="BH17:BJ17"/>
    <mergeCell ref="BK17:BM17"/>
    <mergeCell ref="AM17:AR17"/>
    <mergeCell ref="B23:E23"/>
    <mergeCell ref="F23:J23"/>
    <mergeCell ref="K23:O23"/>
    <mergeCell ref="P23:AK23"/>
    <mergeCell ref="AL23:AQ23"/>
    <mergeCell ref="AR23:BM23"/>
    <mergeCell ref="B24:O24"/>
    <mergeCell ref="P24:BM24"/>
    <mergeCell ref="AS19:AX19"/>
    <mergeCell ref="AY19:BD19"/>
    <mergeCell ref="BE19:BG19"/>
    <mergeCell ref="BH19:BJ19"/>
    <mergeCell ref="BK19:BM19"/>
    <mergeCell ref="AM20:AR20"/>
    <mergeCell ref="AS20:AX20"/>
    <mergeCell ref="AY20:BD20"/>
    <mergeCell ref="B19:E19"/>
    <mergeCell ref="F19:O19"/>
    <mergeCell ref="P19:AC19"/>
    <mergeCell ref="AD19:AF19"/>
    <mergeCell ref="AG19:AL19"/>
    <mergeCell ref="AM19:AR19"/>
    <mergeCell ref="B30:O30"/>
    <mergeCell ref="P30:BM30"/>
    <mergeCell ref="B31:O31"/>
    <mergeCell ref="P31:BM31"/>
    <mergeCell ref="B25:O25"/>
    <mergeCell ref="P25:BM25"/>
    <mergeCell ref="B29:E29"/>
    <mergeCell ref="F29:J29"/>
    <mergeCell ref="K29:O29"/>
    <mergeCell ref="P29:AK29"/>
    <mergeCell ref="AL29:AQ29"/>
    <mergeCell ref="AR29:BM29"/>
    <mergeCell ref="B26:O26"/>
    <mergeCell ref="P26:BM26"/>
  </mergeCells>
  <phoneticPr fontId="41"/>
  <dataValidations count="1">
    <dataValidation type="list" allowBlank="1" showInputMessage="1" showErrorMessage="1" sqref="AD10:AD19" xr:uid="{00000000-0002-0000-1200-000000000000}">
      <formula1>"(選択),購入,リース,レンタル"</formula1>
    </dataValidation>
  </dataValidations>
  <pageMargins left="0.7" right="0.7" top="0.75" bottom="0.75" header="0.3" footer="0.3"/>
  <pageSetup paperSize="9" scale="57"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4" tint="0.79998168889431442"/>
  </sheetPr>
  <dimension ref="B1:BM33"/>
  <sheetViews>
    <sheetView view="pageBreakPreview" zoomScale="194" zoomScaleNormal="100" zoomScaleSheetLayoutView="194" workbookViewId="0"/>
  </sheetViews>
  <sheetFormatPr baseColWidth="10" defaultColWidth="2" defaultRowHeight="18"/>
  <cols>
    <col min="1" max="1" width="0.83203125" style="94" customWidth="1"/>
    <col min="2" max="65" width="2" style="94"/>
    <col min="66" max="66" width="0.83203125" style="94" customWidth="1"/>
    <col min="67" max="83" width="2" style="94"/>
    <col min="84" max="84" width="2" style="94" customWidth="1"/>
    <col min="85" max="16384" width="2" style="94"/>
  </cols>
  <sheetData>
    <row r="1" spans="2:65">
      <c r="B1" s="123" t="s">
        <v>471</v>
      </c>
      <c r="C1" s="130"/>
    </row>
    <row r="2" spans="2:65">
      <c r="B2" s="95"/>
      <c r="C2" s="94" t="s">
        <v>246</v>
      </c>
    </row>
    <row r="3" spans="2:65">
      <c r="B3" s="94" t="s">
        <v>310</v>
      </c>
      <c r="C3" s="96" t="s">
        <v>606</v>
      </c>
    </row>
    <row r="4" spans="2:65">
      <c r="B4" s="101" t="s">
        <v>311</v>
      </c>
      <c r="C4" s="96" t="s">
        <v>423</v>
      </c>
    </row>
    <row r="5" spans="2:65">
      <c r="B5" s="101" t="s">
        <v>332</v>
      </c>
      <c r="C5" s="101"/>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03" t="s">
        <v>247</v>
      </c>
      <c r="AN7" s="903"/>
      <c r="AO7" s="903"/>
      <c r="AP7" s="903"/>
      <c r="AQ7" s="903"/>
      <c r="AR7" s="903"/>
      <c r="AS7" s="903" t="s">
        <v>247</v>
      </c>
      <c r="AT7" s="903"/>
      <c r="AU7" s="903"/>
      <c r="AV7" s="903"/>
      <c r="AW7" s="903"/>
      <c r="AX7" s="903"/>
      <c r="AY7" s="903" t="s">
        <v>248</v>
      </c>
      <c r="AZ7" s="903"/>
      <c r="BA7" s="903"/>
      <c r="BB7" s="903"/>
      <c r="BC7" s="903"/>
      <c r="BD7" s="903"/>
      <c r="BE7" s="97"/>
      <c r="BF7" s="97"/>
      <c r="BG7" s="97"/>
      <c r="BH7" s="98"/>
      <c r="BI7" s="98"/>
      <c r="BJ7" s="97"/>
      <c r="BK7" s="97"/>
      <c r="BL7" s="97"/>
      <c r="BM7" s="99" t="s">
        <v>249</v>
      </c>
    </row>
    <row r="8" spans="2:65">
      <c r="B8" s="904" t="s">
        <v>250</v>
      </c>
      <c r="C8" s="891"/>
      <c r="D8" s="891"/>
      <c r="E8" s="892"/>
      <c r="F8" s="904" t="s">
        <v>251</v>
      </c>
      <c r="G8" s="891"/>
      <c r="H8" s="891"/>
      <c r="I8" s="891"/>
      <c r="J8" s="891"/>
      <c r="K8" s="891"/>
      <c r="L8" s="891"/>
      <c r="M8" s="891"/>
      <c r="N8" s="891"/>
      <c r="O8" s="892"/>
      <c r="P8" s="904" t="s">
        <v>252</v>
      </c>
      <c r="Q8" s="891"/>
      <c r="R8" s="891"/>
      <c r="S8" s="891"/>
      <c r="T8" s="891"/>
      <c r="U8" s="891"/>
      <c r="V8" s="891"/>
      <c r="W8" s="891"/>
      <c r="X8" s="891"/>
      <c r="Y8" s="891"/>
      <c r="Z8" s="891"/>
      <c r="AA8" s="891"/>
      <c r="AB8" s="891"/>
      <c r="AC8" s="892"/>
      <c r="AD8" s="904" t="s">
        <v>253</v>
      </c>
      <c r="AE8" s="891"/>
      <c r="AF8" s="892"/>
      <c r="AG8" s="904" t="s">
        <v>254</v>
      </c>
      <c r="AH8" s="891"/>
      <c r="AI8" s="891"/>
      <c r="AJ8" s="891"/>
      <c r="AK8" s="891"/>
      <c r="AL8" s="892"/>
      <c r="AM8" s="905" t="s">
        <v>255</v>
      </c>
      <c r="AN8" s="905"/>
      <c r="AO8" s="905"/>
      <c r="AP8" s="905"/>
      <c r="AQ8" s="905"/>
      <c r="AR8" s="905"/>
      <c r="AS8" s="904" t="s">
        <v>256</v>
      </c>
      <c r="AT8" s="891"/>
      <c r="AU8" s="891"/>
      <c r="AV8" s="891"/>
      <c r="AW8" s="891"/>
      <c r="AX8" s="892"/>
      <c r="AY8" s="904" t="s">
        <v>257</v>
      </c>
      <c r="AZ8" s="891"/>
      <c r="BA8" s="891"/>
      <c r="BB8" s="891"/>
      <c r="BC8" s="891"/>
      <c r="BD8" s="892"/>
      <c r="BE8" s="891" t="s">
        <v>258</v>
      </c>
      <c r="BF8" s="891"/>
      <c r="BG8" s="891"/>
      <c r="BH8" s="891"/>
      <c r="BI8" s="891"/>
      <c r="BJ8" s="891"/>
      <c r="BK8" s="891"/>
      <c r="BL8" s="891"/>
      <c r="BM8" s="892"/>
    </row>
    <row r="9" spans="2:65">
      <c r="B9" s="893" t="s">
        <v>259</v>
      </c>
      <c r="C9" s="894"/>
      <c r="D9" s="894"/>
      <c r="E9" s="895"/>
      <c r="F9" s="896"/>
      <c r="G9" s="897"/>
      <c r="H9" s="897"/>
      <c r="I9" s="897"/>
      <c r="J9" s="897"/>
      <c r="K9" s="897"/>
      <c r="L9" s="897"/>
      <c r="M9" s="897"/>
      <c r="N9" s="897"/>
      <c r="O9" s="898"/>
      <c r="P9" s="899" t="s">
        <v>260</v>
      </c>
      <c r="Q9" s="899"/>
      <c r="R9" s="899"/>
      <c r="S9" s="899"/>
      <c r="T9" s="899"/>
      <c r="U9" s="899"/>
      <c r="V9" s="899"/>
      <c r="W9" s="899"/>
      <c r="X9" s="899"/>
      <c r="Y9" s="899"/>
      <c r="Z9" s="899"/>
      <c r="AA9" s="899"/>
      <c r="AB9" s="899"/>
      <c r="AC9" s="899"/>
      <c r="AD9" s="899" t="s">
        <v>261</v>
      </c>
      <c r="AE9" s="899"/>
      <c r="AF9" s="899"/>
      <c r="AG9" s="899" t="s">
        <v>262</v>
      </c>
      <c r="AH9" s="899"/>
      <c r="AI9" s="899"/>
      <c r="AJ9" s="899"/>
      <c r="AK9" s="899"/>
      <c r="AL9" s="899"/>
      <c r="AM9" s="899" t="s">
        <v>263</v>
      </c>
      <c r="AN9" s="899"/>
      <c r="AO9" s="899"/>
      <c r="AP9" s="899"/>
      <c r="AQ9" s="899"/>
      <c r="AR9" s="899"/>
      <c r="AS9" s="899" t="s">
        <v>264</v>
      </c>
      <c r="AT9" s="899"/>
      <c r="AU9" s="899"/>
      <c r="AV9" s="899"/>
      <c r="AW9" s="899"/>
      <c r="AX9" s="899"/>
      <c r="AY9" s="899" t="s">
        <v>265</v>
      </c>
      <c r="AZ9" s="899"/>
      <c r="BA9" s="899"/>
      <c r="BB9" s="899"/>
      <c r="BC9" s="899"/>
      <c r="BD9" s="899"/>
      <c r="BE9" s="900" t="s">
        <v>266</v>
      </c>
      <c r="BF9" s="900"/>
      <c r="BG9" s="900"/>
      <c r="BH9" s="901" t="s">
        <v>267</v>
      </c>
      <c r="BI9" s="901"/>
      <c r="BJ9" s="901"/>
      <c r="BK9" s="902" t="s">
        <v>255</v>
      </c>
      <c r="BL9" s="902"/>
      <c r="BM9" s="902"/>
    </row>
    <row r="10" spans="2:65" ht="32.25" customHeight="1">
      <c r="B10" s="881" t="s">
        <v>395</v>
      </c>
      <c r="C10" s="881"/>
      <c r="D10" s="881"/>
      <c r="E10" s="881"/>
      <c r="F10" s="934"/>
      <c r="G10" s="934"/>
      <c r="H10" s="934"/>
      <c r="I10" s="934"/>
      <c r="J10" s="934"/>
      <c r="K10" s="934"/>
      <c r="L10" s="934"/>
      <c r="M10" s="934"/>
      <c r="N10" s="934"/>
      <c r="O10" s="934"/>
      <c r="P10" s="934"/>
      <c r="Q10" s="934"/>
      <c r="R10" s="934"/>
      <c r="S10" s="934"/>
      <c r="T10" s="934"/>
      <c r="U10" s="934"/>
      <c r="V10" s="934"/>
      <c r="W10" s="934"/>
      <c r="X10" s="934"/>
      <c r="Y10" s="934"/>
      <c r="Z10" s="934"/>
      <c r="AA10" s="934"/>
      <c r="AB10" s="934"/>
      <c r="AC10" s="934"/>
      <c r="AD10" s="935" t="s">
        <v>202</v>
      </c>
      <c r="AE10" s="935"/>
      <c r="AF10" s="935"/>
      <c r="AG10" s="885"/>
      <c r="AH10" s="885"/>
      <c r="AI10" s="885"/>
      <c r="AJ10" s="885"/>
      <c r="AK10" s="885"/>
      <c r="AL10" s="885"/>
      <c r="AM10" s="885"/>
      <c r="AN10" s="885"/>
      <c r="AO10" s="885"/>
      <c r="AP10" s="885"/>
      <c r="AQ10" s="885"/>
      <c r="AR10" s="885"/>
      <c r="AS10" s="886" t="str">
        <f>IF(AM10="","",AG10*AM10)</f>
        <v/>
      </c>
      <c r="AT10" s="886"/>
      <c r="AU10" s="886"/>
      <c r="AV10" s="886"/>
      <c r="AW10" s="886"/>
      <c r="AX10" s="886"/>
      <c r="AY10" s="886" t="str">
        <f>IF(AM10="","",ROUNDDOWN(AG10*AM10*1.1,0))</f>
        <v/>
      </c>
      <c r="AZ10" s="886"/>
      <c r="BA10" s="886"/>
      <c r="BB10" s="886"/>
      <c r="BC10" s="886"/>
      <c r="BD10" s="886"/>
      <c r="BE10" s="878" t="str">
        <f>IF(AS10="","",IF(AS10&gt;=300000,"必要",""))</f>
        <v/>
      </c>
      <c r="BF10" s="878"/>
      <c r="BG10" s="878"/>
      <c r="BH10" s="878" t="str">
        <f>IF(AS10="","",IF(AS10&gt;=1000000,"必要",""))</f>
        <v/>
      </c>
      <c r="BI10" s="878"/>
      <c r="BJ10" s="878"/>
      <c r="BK10" s="878" t="str">
        <f>IF(AM10="","",IF(AM10&lt;100000,"×","〇"))</f>
        <v/>
      </c>
      <c r="BL10" s="878"/>
      <c r="BM10" s="878"/>
    </row>
    <row r="11" spans="2:65" ht="32.25" customHeight="1">
      <c r="B11" s="881" t="s">
        <v>396</v>
      </c>
      <c r="C11" s="881"/>
      <c r="D11" s="881"/>
      <c r="E11" s="881"/>
      <c r="F11" s="934"/>
      <c r="G11" s="934"/>
      <c r="H11" s="934"/>
      <c r="I11" s="934"/>
      <c r="J11" s="934"/>
      <c r="K11" s="934"/>
      <c r="L11" s="934"/>
      <c r="M11" s="934"/>
      <c r="N11" s="934"/>
      <c r="O11" s="934"/>
      <c r="P11" s="934"/>
      <c r="Q11" s="934"/>
      <c r="R11" s="934"/>
      <c r="S11" s="934"/>
      <c r="T11" s="934"/>
      <c r="U11" s="934"/>
      <c r="V11" s="934"/>
      <c r="W11" s="934"/>
      <c r="X11" s="934"/>
      <c r="Y11" s="934"/>
      <c r="Z11" s="934"/>
      <c r="AA11" s="934"/>
      <c r="AB11" s="934"/>
      <c r="AC11" s="934"/>
      <c r="AD11" s="935" t="s">
        <v>202</v>
      </c>
      <c r="AE11" s="935"/>
      <c r="AF11" s="935"/>
      <c r="AG11" s="885"/>
      <c r="AH11" s="885"/>
      <c r="AI11" s="885"/>
      <c r="AJ11" s="885"/>
      <c r="AK11" s="885"/>
      <c r="AL11" s="885"/>
      <c r="AM11" s="885"/>
      <c r="AN11" s="885"/>
      <c r="AO11" s="885"/>
      <c r="AP11" s="885"/>
      <c r="AQ11" s="885"/>
      <c r="AR11" s="885"/>
      <c r="AS11" s="886" t="str">
        <f t="shared" ref="AS11:AS19" si="0">IF(AM11="","",AG11*AM11)</f>
        <v/>
      </c>
      <c r="AT11" s="886"/>
      <c r="AU11" s="886"/>
      <c r="AV11" s="886"/>
      <c r="AW11" s="886"/>
      <c r="AX11" s="886"/>
      <c r="AY11" s="886" t="str">
        <f t="shared" ref="AY11:AY19" si="1">IF(AM11="","",ROUNDDOWN(AG11*AM11*1.1,0))</f>
        <v/>
      </c>
      <c r="AZ11" s="886"/>
      <c r="BA11" s="886"/>
      <c r="BB11" s="886"/>
      <c r="BC11" s="886"/>
      <c r="BD11" s="886"/>
      <c r="BE11" s="878" t="str">
        <f t="shared" ref="BE11:BE19" si="2">IF(AS11="","",IF(AS11&gt;=300000,"必要",""))</f>
        <v/>
      </c>
      <c r="BF11" s="878"/>
      <c r="BG11" s="878"/>
      <c r="BH11" s="878" t="str">
        <f t="shared" ref="BH11:BH19" si="3">IF(AS11="","",IF(AS11&gt;=1000000,"必要",""))</f>
        <v/>
      </c>
      <c r="BI11" s="878"/>
      <c r="BJ11" s="878"/>
      <c r="BK11" s="878" t="str">
        <f t="shared" ref="BK11:BK19" si="4">IF(AM11="","",IF(AM11&lt;100000,"×","〇"))</f>
        <v/>
      </c>
      <c r="BL11" s="878"/>
      <c r="BM11" s="878"/>
    </row>
    <row r="12" spans="2:65" ht="32.25" customHeight="1">
      <c r="B12" s="881" t="s">
        <v>397</v>
      </c>
      <c r="C12" s="881"/>
      <c r="D12" s="881"/>
      <c r="E12" s="881"/>
      <c r="F12" s="934"/>
      <c r="G12" s="934"/>
      <c r="H12" s="934"/>
      <c r="I12" s="934"/>
      <c r="J12" s="934"/>
      <c r="K12" s="934"/>
      <c r="L12" s="934"/>
      <c r="M12" s="934"/>
      <c r="N12" s="934"/>
      <c r="O12" s="934"/>
      <c r="P12" s="934"/>
      <c r="Q12" s="934"/>
      <c r="R12" s="934"/>
      <c r="S12" s="934"/>
      <c r="T12" s="934"/>
      <c r="U12" s="934"/>
      <c r="V12" s="934"/>
      <c r="W12" s="934"/>
      <c r="X12" s="934"/>
      <c r="Y12" s="934"/>
      <c r="Z12" s="934"/>
      <c r="AA12" s="934"/>
      <c r="AB12" s="934"/>
      <c r="AC12" s="934"/>
      <c r="AD12" s="935" t="s">
        <v>202</v>
      </c>
      <c r="AE12" s="935"/>
      <c r="AF12" s="935"/>
      <c r="AG12" s="885"/>
      <c r="AH12" s="885"/>
      <c r="AI12" s="885"/>
      <c r="AJ12" s="885"/>
      <c r="AK12" s="885"/>
      <c r="AL12" s="885"/>
      <c r="AM12" s="885"/>
      <c r="AN12" s="885"/>
      <c r="AO12" s="885"/>
      <c r="AP12" s="885"/>
      <c r="AQ12" s="885"/>
      <c r="AR12" s="885"/>
      <c r="AS12" s="886" t="str">
        <f t="shared" si="0"/>
        <v/>
      </c>
      <c r="AT12" s="886"/>
      <c r="AU12" s="886"/>
      <c r="AV12" s="886"/>
      <c r="AW12" s="886"/>
      <c r="AX12" s="886"/>
      <c r="AY12" s="886" t="str">
        <f t="shared" si="1"/>
        <v/>
      </c>
      <c r="AZ12" s="886"/>
      <c r="BA12" s="886"/>
      <c r="BB12" s="886"/>
      <c r="BC12" s="886"/>
      <c r="BD12" s="886"/>
      <c r="BE12" s="878" t="str">
        <f t="shared" si="2"/>
        <v/>
      </c>
      <c r="BF12" s="878"/>
      <c r="BG12" s="878"/>
      <c r="BH12" s="878" t="str">
        <f t="shared" si="3"/>
        <v/>
      </c>
      <c r="BI12" s="878"/>
      <c r="BJ12" s="878"/>
      <c r="BK12" s="878" t="str">
        <f t="shared" si="4"/>
        <v/>
      </c>
      <c r="BL12" s="878"/>
      <c r="BM12" s="878"/>
    </row>
    <row r="13" spans="2:65" ht="32.25" customHeight="1">
      <c r="B13" s="881" t="s">
        <v>398</v>
      </c>
      <c r="C13" s="881"/>
      <c r="D13" s="881"/>
      <c r="E13" s="881"/>
      <c r="F13" s="934"/>
      <c r="G13" s="934"/>
      <c r="H13" s="934"/>
      <c r="I13" s="934"/>
      <c r="J13" s="934"/>
      <c r="K13" s="934"/>
      <c r="L13" s="934"/>
      <c r="M13" s="934"/>
      <c r="N13" s="934"/>
      <c r="O13" s="934"/>
      <c r="P13" s="934"/>
      <c r="Q13" s="934"/>
      <c r="R13" s="934"/>
      <c r="S13" s="934"/>
      <c r="T13" s="934"/>
      <c r="U13" s="934"/>
      <c r="V13" s="934"/>
      <c r="W13" s="934"/>
      <c r="X13" s="934"/>
      <c r="Y13" s="934"/>
      <c r="Z13" s="934"/>
      <c r="AA13" s="934"/>
      <c r="AB13" s="934"/>
      <c r="AC13" s="934"/>
      <c r="AD13" s="935" t="s">
        <v>202</v>
      </c>
      <c r="AE13" s="935"/>
      <c r="AF13" s="935"/>
      <c r="AG13" s="885"/>
      <c r="AH13" s="885"/>
      <c r="AI13" s="885"/>
      <c r="AJ13" s="885"/>
      <c r="AK13" s="885"/>
      <c r="AL13" s="885"/>
      <c r="AM13" s="885"/>
      <c r="AN13" s="885"/>
      <c r="AO13" s="885"/>
      <c r="AP13" s="885"/>
      <c r="AQ13" s="885"/>
      <c r="AR13" s="885"/>
      <c r="AS13" s="886" t="str">
        <f t="shared" si="0"/>
        <v/>
      </c>
      <c r="AT13" s="886"/>
      <c r="AU13" s="886"/>
      <c r="AV13" s="886"/>
      <c r="AW13" s="886"/>
      <c r="AX13" s="886"/>
      <c r="AY13" s="886" t="str">
        <f t="shared" si="1"/>
        <v/>
      </c>
      <c r="AZ13" s="886"/>
      <c r="BA13" s="886"/>
      <c r="BB13" s="886"/>
      <c r="BC13" s="886"/>
      <c r="BD13" s="886"/>
      <c r="BE13" s="878" t="str">
        <f t="shared" si="2"/>
        <v/>
      </c>
      <c r="BF13" s="878"/>
      <c r="BG13" s="878"/>
      <c r="BH13" s="878" t="str">
        <f t="shared" si="3"/>
        <v/>
      </c>
      <c r="BI13" s="878"/>
      <c r="BJ13" s="878"/>
      <c r="BK13" s="878" t="str">
        <f t="shared" si="4"/>
        <v/>
      </c>
      <c r="BL13" s="878"/>
      <c r="BM13" s="878"/>
    </row>
    <row r="14" spans="2:65" ht="32.25" customHeight="1">
      <c r="B14" s="881" t="s">
        <v>399</v>
      </c>
      <c r="C14" s="881"/>
      <c r="D14" s="881"/>
      <c r="E14" s="881"/>
      <c r="F14" s="934"/>
      <c r="G14" s="934"/>
      <c r="H14" s="934"/>
      <c r="I14" s="934"/>
      <c r="J14" s="934"/>
      <c r="K14" s="934"/>
      <c r="L14" s="934"/>
      <c r="M14" s="934"/>
      <c r="N14" s="934"/>
      <c r="O14" s="934"/>
      <c r="P14" s="934"/>
      <c r="Q14" s="934"/>
      <c r="R14" s="934"/>
      <c r="S14" s="934"/>
      <c r="T14" s="934"/>
      <c r="U14" s="934"/>
      <c r="V14" s="934"/>
      <c r="W14" s="934"/>
      <c r="X14" s="934"/>
      <c r="Y14" s="934"/>
      <c r="Z14" s="934"/>
      <c r="AA14" s="934"/>
      <c r="AB14" s="934"/>
      <c r="AC14" s="934"/>
      <c r="AD14" s="935" t="s">
        <v>202</v>
      </c>
      <c r="AE14" s="935"/>
      <c r="AF14" s="935"/>
      <c r="AG14" s="885"/>
      <c r="AH14" s="885"/>
      <c r="AI14" s="885"/>
      <c r="AJ14" s="885"/>
      <c r="AK14" s="885"/>
      <c r="AL14" s="885"/>
      <c r="AM14" s="885"/>
      <c r="AN14" s="885"/>
      <c r="AO14" s="885"/>
      <c r="AP14" s="885"/>
      <c r="AQ14" s="885"/>
      <c r="AR14" s="885"/>
      <c r="AS14" s="886" t="str">
        <f t="shared" si="0"/>
        <v/>
      </c>
      <c r="AT14" s="886"/>
      <c r="AU14" s="886"/>
      <c r="AV14" s="886"/>
      <c r="AW14" s="886"/>
      <c r="AX14" s="886"/>
      <c r="AY14" s="886" t="str">
        <f t="shared" si="1"/>
        <v/>
      </c>
      <c r="AZ14" s="886"/>
      <c r="BA14" s="886"/>
      <c r="BB14" s="886"/>
      <c r="BC14" s="886"/>
      <c r="BD14" s="886"/>
      <c r="BE14" s="878" t="str">
        <f t="shared" si="2"/>
        <v/>
      </c>
      <c r="BF14" s="878"/>
      <c r="BG14" s="878"/>
      <c r="BH14" s="878" t="str">
        <f t="shared" si="3"/>
        <v/>
      </c>
      <c r="BI14" s="878"/>
      <c r="BJ14" s="878"/>
      <c r="BK14" s="878" t="str">
        <f t="shared" si="4"/>
        <v/>
      </c>
      <c r="BL14" s="878"/>
      <c r="BM14" s="878"/>
    </row>
    <row r="15" spans="2:65" ht="32.25" customHeight="1">
      <c r="B15" s="881" t="s">
        <v>400</v>
      </c>
      <c r="C15" s="881"/>
      <c r="D15" s="881"/>
      <c r="E15" s="881"/>
      <c r="F15" s="934"/>
      <c r="G15" s="934"/>
      <c r="H15" s="934"/>
      <c r="I15" s="934"/>
      <c r="J15" s="934"/>
      <c r="K15" s="934"/>
      <c r="L15" s="934"/>
      <c r="M15" s="934"/>
      <c r="N15" s="934"/>
      <c r="O15" s="934"/>
      <c r="P15" s="934"/>
      <c r="Q15" s="934"/>
      <c r="R15" s="934"/>
      <c r="S15" s="934"/>
      <c r="T15" s="934"/>
      <c r="U15" s="934"/>
      <c r="V15" s="934"/>
      <c r="W15" s="934"/>
      <c r="X15" s="934"/>
      <c r="Y15" s="934"/>
      <c r="Z15" s="934"/>
      <c r="AA15" s="934"/>
      <c r="AB15" s="934"/>
      <c r="AC15" s="934"/>
      <c r="AD15" s="935" t="s">
        <v>202</v>
      </c>
      <c r="AE15" s="935"/>
      <c r="AF15" s="935"/>
      <c r="AG15" s="885"/>
      <c r="AH15" s="885"/>
      <c r="AI15" s="885"/>
      <c r="AJ15" s="885"/>
      <c r="AK15" s="885"/>
      <c r="AL15" s="885"/>
      <c r="AM15" s="885"/>
      <c r="AN15" s="885"/>
      <c r="AO15" s="885"/>
      <c r="AP15" s="885"/>
      <c r="AQ15" s="885"/>
      <c r="AR15" s="885"/>
      <c r="AS15" s="886" t="str">
        <f t="shared" si="0"/>
        <v/>
      </c>
      <c r="AT15" s="886"/>
      <c r="AU15" s="886"/>
      <c r="AV15" s="886"/>
      <c r="AW15" s="886"/>
      <c r="AX15" s="886"/>
      <c r="AY15" s="886" t="str">
        <f t="shared" si="1"/>
        <v/>
      </c>
      <c r="AZ15" s="886"/>
      <c r="BA15" s="886"/>
      <c r="BB15" s="886"/>
      <c r="BC15" s="886"/>
      <c r="BD15" s="886"/>
      <c r="BE15" s="878" t="str">
        <f t="shared" si="2"/>
        <v/>
      </c>
      <c r="BF15" s="878"/>
      <c r="BG15" s="878"/>
      <c r="BH15" s="878" t="str">
        <f t="shared" si="3"/>
        <v/>
      </c>
      <c r="BI15" s="878"/>
      <c r="BJ15" s="878"/>
      <c r="BK15" s="878" t="str">
        <f t="shared" si="4"/>
        <v/>
      </c>
      <c r="BL15" s="878"/>
      <c r="BM15" s="878"/>
    </row>
    <row r="16" spans="2:65" ht="32.25" customHeight="1">
      <c r="B16" s="881" t="s">
        <v>401</v>
      </c>
      <c r="C16" s="881"/>
      <c r="D16" s="881"/>
      <c r="E16" s="881"/>
      <c r="F16" s="934"/>
      <c r="G16" s="934"/>
      <c r="H16" s="934"/>
      <c r="I16" s="934"/>
      <c r="J16" s="934"/>
      <c r="K16" s="934"/>
      <c r="L16" s="934"/>
      <c r="M16" s="934"/>
      <c r="N16" s="934"/>
      <c r="O16" s="934"/>
      <c r="P16" s="934"/>
      <c r="Q16" s="934"/>
      <c r="R16" s="934"/>
      <c r="S16" s="934"/>
      <c r="T16" s="934"/>
      <c r="U16" s="934"/>
      <c r="V16" s="934"/>
      <c r="W16" s="934"/>
      <c r="X16" s="934"/>
      <c r="Y16" s="934"/>
      <c r="Z16" s="934"/>
      <c r="AA16" s="934"/>
      <c r="AB16" s="934"/>
      <c r="AC16" s="934"/>
      <c r="AD16" s="935" t="s">
        <v>202</v>
      </c>
      <c r="AE16" s="935"/>
      <c r="AF16" s="935"/>
      <c r="AG16" s="885"/>
      <c r="AH16" s="885"/>
      <c r="AI16" s="885"/>
      <c r="AJ16" s="885"/>
      <c r="AK16" s="885"/>
      <c r="AL16" s="885"/>
      <c r="AM16" s="885"/>
      <c r="AN16" s="885"/>
      <c r="AO16" s="885"/>
      <c r="AP16" s="885"/>
      <c r="AQ16" s="885"/>
      <c r="AR16" s="885"/>
      <c r="AS16" s="886" t="str">
        <f t="shared" si="0"/>
        <v/>
      </c>
      <c r="AT16" s="886"/>
      <c r="AU16" s="886"/>
      <c r="AV16" s="886"/>
      <c r="AW16" s="886"/>
      <c r="AX16" s="886"/>
      <c r="AY16" s="886" t="str">
        <f t="shared" si="1"/>
        <v/>
      </c>
      <c r="AZ16" s="886"/>
      <c r="BA16" s="886"/>
      <c r="BB16" s="886"/>
      <c r="BC16" s="886"/>
      <c r="BD16" s="886"/>
      <c r="BE16" s="878" t="str">
        <f t="shared" si="2"/>
        <v/>
      </c>
      <c r="BF16" s="878"/>
      <c r="BG16" s="878"/>
      <c r="BH16" s="878" t="str">
        <f t="shared" si="3"/>
        <v/>
      </c>
      <c r="BI16" s="878"/>
      <c r="BJ16" s="878"/>
      <c r="BK16" s="878" t="str">
        <f t="shared" si="4"/>
        <v/>
      </c>
      <c r="BL16" s="878"/>
      <c r="BM16" s="878"/>
    </row>
    <row r="17" spans="2:65" ht="32.25" customHeight="1">
      <c r="B17" s="881" t="s">
        <v>402</v>
      </c>
      <c r="C17" s="881"/>
      <c r="D17" s="881"/>
      <c r="E17" s="881"/>
      <c r="F17" s="934"/>
      <c r="G17" s="934"/>
      <c r="H17" s="934"/>
      <c r="I17" s="934"/>
      <c r="J17" s="934"/>
      <c r="K17" s="934"/>
      <c r="L17" s="934"/>
      <c r="M17" s="934"/>
      <c r="N17" s="934"/>
      <c r="O17" s="934"/>
      <c r="P17" s="934"/>
      <c r="Q17" s="934"/>
      <c r="R17" s="934"/>
      <c r="S17" s="934"/>
      <c r="T17" s="934"/>
      <c r="U17" s="934"/>
      <c r="V17" s="934"/>
      <c r="W17" s="934"/>
      <c r="X17" s="934"/>
      <c r="Y17" s="934"/>
      <c r="Z17" s="934"/>
      <c r="AA17" s="934"/>
      <c r="AB17" s="934"/>
      <c r="AC17" s="934"/>
      <c r="AD17" s="935" t="s">
        <v>202</v>
      </c>
      <c r="AE17" s="935"/>
      <c r="AF17" s="935"/>
      <c r="AG17" s="885"/>
      <c r="AH17" s="885"/>
      <c r="AI17" s="885"/>
      <c r="AJ17" s="885"/>
      <c r="AK17" s="885"/>
      <c r="AL17" s="885"/>
      <c r="AM17" s="885"/>
      <c r="AN17" s="885"/>
      <c r="AO17" s="885"/>
      <c r="AP17" s="885"/>
      <c r="AQ17" s="885"/>
      <c r="AR17" s="885"/>
      <c r="AS17" s="886" t="str">
        <f t="shared" si="0"/>
        <v/>
      </c>
      <c r="AT17" s="886"/>
      <c r="AU17" s="886"/>
      <c r="AV17" s="886"/>
      <c r="AW17" s="886"/>
      <c r="AX17" s="886"/>
      <c r="AY17" s="886" t="str">
        <f t="shared" si="1"/>
        <v/>
      </c>
      <c r="AZ17" s="886"/>
      <c r="BA17" s="886"/>
      <c r="BB17" s="886"/>
      <c r="BC17" s="886"/>
      <c r="BD17" s="886"/>
      <c r="BE17" s="878" t="str">
        <f t="shared" si="2"/>
        <v/>
      </c>
      <c r="BF17" s="878"/>
      <c r="BG17" s="878"/>
      <c r="BH17" s="878" t="str">
        <f t="shared" si="3"/>
        <v/>
      </c>
      <c r="BI17" s="878"/>
      <c r="BJ17" s="878"/>
      <c r="BK17" s="878" t="str">
        <f t="shared" si="4"/>
        <v/>
      </c>
      <c r="BL17" s="878"/>
      <c r="BM17" s="878"/>
    </row>
    <row r="18" spans="2:65" ht="32.25" customHeight="1">
      <c r="B18" s="881" t="s">
        <v>403</v>
      </c>
      <c r="C18" s="881"/>
      <c r="D18" s="881"/>
      <c r="E18" s="881"/>
      <c r="F18" s="934"/>
      <c r="G18" s="934"/>
      <c r="H18" s="934"/>
      <c r="I18" s="934"/>
      <c r="J18" s="934"/>
      <c r="K18" s="934"/>
      <c r="L18" s="934"/>
      <c r="M18" s="934"/>
      <c r="N18" s="934"/>
      <c r="O18" s="934"/>
      <c r="P18" s="934"/>
      <c r="Q18" s="934"/>
      <c r="R18" s="934"/>
      <c r="S18" s="934"/>
      <c r="T18" s="934"/>
      <c r="U18" s="934"/>
      <c r="V18" s="934"/>
      <c r="W18" s="934"/>
      <c r="X18" s="934"/>
      <c r="Y18" s="934"/>
      <c r="Z18" s="934"/>
      <c r="AA18" s="934"/>
      <c r="AB18" s="934"/>
      <c r="AC18" s="934"/>
      <c r="AD18" s="935" t="s">
        <v>202</v>
      </c>
      <c r="AE18" s="935"/>
      <c r="AF18" s="935"/>
      <c r="AG18" s="885"/>
      <c r="AH18" s="885"/>
      <c r="AI18" s="885"/>
      <c r="AJ18" s="885"/>
      <c r="AK18" s="885"/>
      <c r="AL18" s="885"/>
      <c r="AM18" s="885"/>
      <c r="AN18" s="885"/>
      <c r="AO18" s="885"/>
      <c r="AP18" s="885"/>
      <c r="AQ18" s="885"/>
      <c r="AR18" s="885"/>
      <c r="AS18" s="886" t="str">
        <f t="shared" si="0"/>
        <v/>
      </c>
      <c r="AT18" s="886"/>
      <c r="AU18" s="886"/>
      <c r="AV18" s="886"/>
      <c r="AW18" s="886"/>
      <c r="AX18" s="886"/>
      <c r="AY18" s="886" t="str">
        <f t="shared" si="1"/>
        <v/>
      </c>
      <c r="AZ18" s="886"/>
      <c r="BA18" s="886"/>
      <c r="BB18" s="886"/>
      <c r="BC18" s="886"/>
      <c r="BD18" s="886"/>
      <c r="BE18" s="878" t="str">
        <f t="shared" si="2"/>
        <v/>
      </c>
      <c r="BF18" s="878"/>
      <c r="BG18" s="878"/>
      <c r="BH18" s="878" t="str">
        <f t="shared" si="3"/>
        <v/>
      </c>
      <c r="BI18" s="878"/>
      <c r="BJ18" s="878"/>
      <c r="BK18" s="878" t="str">
        <f t="shared" si="4"/>
        <v/>
      </c>
      <c r="BL18" s="878"/>
      <c r="BM18" s="878"/>
    </row>
    <row r="19" spans="2:65" ht="32.25" customHeight="1">
      <c r="B19" s="881" t="s">
        <v>404</v>
      </c>
      <c r="C19" s="881"/>
      <c r="D19" s="881"/>
      <c r="E19" s="881"/>
      <c r="F19" s="934"/>
      <c r="G19" s="934"/>
      <c r="H19" s="934"/>
      <c r="I19" s="934"/>
      <c r="J19" s="934"/>
      <c r="K19" s="934"/>
      <c r="L19" s="934"/>
      <c r="M19" s="934"/>
      <c r="N19" s="934"/>
      <c r="O19" s="934"/>
      <c r="P19" s="934"/>
      <c r="Q19" s="934"/>
      <c r="R19" s="934"/>
      <c r="S19" s="934"/>
      <c r="T19" s="934"/>
      <c r="U19" s="934"/>
      <c r="V19" s="934"/>
      <c r="W19" s="934"/>
      <c r="X19" s="934"/>
      <c r="Y19" s="934"/>
      <c r="Z19" s="934"/>
      <c r="AA19" s="934"/>
      <c r="AB19" s="934"/>
      <c r="AC19" s="934"/>
      <c r="AD19" s="935" t="s">
        <v>202</v>
      </c>
      <c r="AE19" s="935"/>
      <c r="AF19" s="935"/>
      <c r="AG19" s="885"/>
      <c r="AH19" s="885"/>
      <c r="AI19" s="885"/>
      <c r="AJ19" s="885"/>
      <c r="AK19" s="885"/>
      <c r="AL19" s="885"/>
      <c r="AM19" s="885"/>
      <c r="AN19" s="885"/>
      <c r="AO19" s="885"/>
      <c r="AP19" s="885"/>
      <c r="AQ19" s="885"/>
      <c r="AR19" s="885"/>
      <c r="AS19" s="886" t="str">
        <f t="shared" si="0"/>
        <v/>
      </c>
      <c r="AT19" s="886"/>
      <c r="AU19" s="886"/>
      <c r="AV19" s="886"/>
      <c r="AW19" s="886"/>
      <c r="AX19" s="886"/>
      <c r="AY19" s="886" t="str">
        <f t="shared" si="1"/>
        <v/>
      </c>
      <c r="AZ19" s="886"/>
      <c r="BA19" s="886"/>
      <c r="BB19" s="886"/>
      <c r="BC19" s="886"/>
      <c r="BD19" s="886"/>
      <c r="BE19" s="878" t="str">
        <f t="shared" si="2"/>
        <v/>
      </c>
      <c r="BF19" s="878"/>
      <c r="BG19" s="878"/>
      <c r="BH19" s="878" t="str">
        <f t="shared" si="3"/>
        <v/>
      </c>
      <c r="BI19" s="878"/>
      <c r="BJ19" s="878"/>
      <c r="BK19" s="878" t="str">
        <f t="shared" si="4"/>
        <v/>
      </c>
      <c r="BL19" s="878"/>
      <c r="BM19" s="878"/>
    </row>
    <row r="20" spans="2:65" ht="32.25" customHeight="1">
      <c r="AM20" s="887" t="s">
        <v>34</v>
      </c>
      <c r="AN20" s="887"/>
      <c r="AO20" s="887"/>
      <c r="AP20" s="887"/>
      <c r="AQ20" s="887"/>
      <c r="AR20" s="888"/>
      <c r="AS20" s="889">
        <f>SUM(AS10:AX19)</f>
        <v>0</v>
      </c>
      <c r="AT20" s="889"/>
      <c r="AU20" s="889"/>
      <c r="AV20" s="889"/>
      <c r="AW20" s="889"/>
      <c r="AX20" s="889"/>
      <c r="AY20" s="889">
        <f>SUM(AY10:BD19)</f>
        <v>0</v>
      </c>
      <c r="AZ20" s="889"/>
      <c r="BA20" s="889"/>
      <c r="BB20" s="889"/>
      <c r="BC20" s="889"/>
      <c r="BD20" s="889"/>
    </row>
    <row r="22" spans="2:65">
      <c r="B22" s="94" t="s">
        <v>405</v>
      </c>
    </row>
    <row r="23" spans="2:65" ht="23.5" customHeight="1">
      <c r="B23" s="1035" t="s">
        <v>304</v>
      </c>
      <c r="C23" s="1036"/>
      <c r="D23" s="1036"/>
      <c r="E23" s="1037"/>
      <c r="F23" s="1035" t="s">
        <v>406</v>
      </c>
      <c r="G23" s="1036"/>
      <c r="H23" s="1036"/>
      <c r="I23" s="1036"/>
      <c r="J23" s="1036"/>
      <c r="K23" s="1036"/>
      <c r="L23" s="1036"/>
      <c r="M23" s="1036"/>
      <c r="N23" s="1036"/>
      <c r="O23" s="1037"/>
      <c r="P23" s="1035" t="s">
        <v>407</v>
      </c>
      <c r="Q23" s="1036"/>
      <c r="R23" s="1036"/>
      <c r="S23" s="1036"/>
      <c r="T23" s="1036"/>
      <c r="U23" s="1036"/>
      <c r="V23" s="1036"/>
      <c r="W23" s="1036"/>
      <c r="X23" s="1036"/>
      <c r="Y23" s="1036"/>
      <c r="Z23" s="1036"/>
      <c r="AA23" s="1036"/>
      <c r="AB23" s="1036"/>
      <c r="AC23" s="1036"/>
      <c r="AD23" s="1036"/>
      <c r="AE23" s="1036"/>
      <c r="AF23" s="1036"/>
      <c r="AG23" s="1036"/>
      <c r="AH23" s="1036"/>
      <c r="AI23" s="1036"/>
      <c r="AJ23" s="1036"/>
      <c r="AK23" s="1036"/>
      <c r="AL23" s="1036"/>
      <c r="AM23" s="1036"/>
      <c r="AN23" s="1036"/>
      <c r="AO23" s="1036"/>
      <c r="AP23" s="1036"/>
      <c r="AQ23" s="1036"/>
      <c r="AR23" s="1036"/>
      <c r="AS23" s="1036"/>
      <c r="AT23" s="1036"/>
      <c r="AU23" s="1036"/>
      <c r="AV23" s="1036"/>
      <c r="AW23" s="1036"/>
      <c r="AX23" s="1036"/>
      <c r="AY23" s="1036"/>
      <c r="AZ23" s="1036"/>
      <c r="BA23" s="1036"/>
      <c r="BB23" s="1036"/>
      <c r="BC23" s="1036"/>
      <c r="BD23" s="1036"/>
      <c r="BE23" s="1036"/>
      <c r="BF23" s="1036"/>
      <c r="BG23" s="1036"/>
      <c r="BH23" s="1036"/>
      <c r="BI23" s="1036"/>
      <c r="BJ23" s="1036"/>
      <c r="BK23" s="1036"/>
      <c r="BL23" s="1036"/>
      <c r="BM23" s="1037"/>
    </row>
    <row r="24" spans="2:65" ht="24.75" customHeight="1">
      <c r="B24" s="881" t="s">
        <v>395</v>
      </c>
      <c r="C24" s="881"/>
      <c r="D24" s="881"/>
      <c r="E24" s="881"/>
      <c r="F24" s="1034" t="s">
        <v>202</v>
      </c>
      <c r="G24" s="1034"/>
      <c r="H24" s="1034"/>
      <c r="I24" s="1034"/>
      <c r="J24" s="1034"/>
      <c r="K24" s="1034"/>
      <c r="L24" s="1034"/>
      <c r="M24" s="1034"/>
      <c r="N24" s="1034"/>
      <c r="O24" s="1034"/>
      <c r="P24" s="1034" t="str">
        <f>IF(F24="(選択)","",IF(F24="有","カラー写真２～３枚(現物の個数、設置場所等が複数の画角から確認できるもの","履行完了届や報告書など、購入等先が発行する契約の履行を証明する書類"))</f>
        <v/>
      </c>
      <c r="Q24" s="1034"/>
      <c r="R24" s="1034"/>
      <c r="S24" s="1034"/>
      <c r="T24" s="1034"/>
      <c r="U24" s="1034"/>
      <c r="V24" s="1034"/>
      <c r="W24" s="1034"/>
      <c r="X24" s="1034"/>
      <c r="Y24" s="1034"/>
      <c r="Z24" s="1034"/>
      <c r="AA24" s="1034"/>
      <c r="AB24" s="1034"/>
      <c r="AC24" s="1034"/>
      <c r="AD24" s="1034"/>
      <c r="AE24" s="1034"/>
      <c r="AF24" s="1034"/>
      <c r="AG24" s="1034"/>
      <c r="AH24" s="1034"/>
      <c r="AI24" s="1034"/>
      <c r="AJ24" s="1034"/>
      <c r="AK24" s="1034"/>
      <c r="AL24" s="1034"/>
      <c r="AM24" s="1034"/>
      <c r="AN24" s="1034"/>
      <c r="AO24" s="1034"/>
      <c r="AP24" s="1034"/>
      <c r="AQ24" s="1034"/>
      <c r="AR24" s="1034"/>
      <c r="AS24" s="1034"/>
      <c r="AT24" s="1034"/>
      <c r="AU24" s="1034"/>
      <c r="AV24" s="1034"/>
      <c r="AW24" s="1034"/>
      <c r="AX24" s="1034"/>
      <c r="AY24" s="1034"/>
      <c r="AZ24" s="1034"/>
      <c r="BA24" s="1034"/>
      <c r="BB24" s="1034"/>
      <c r="BC24" s="1034"/>
      <c r="BD24" s="1034"/>
      <c r="BE24" s="1034"/>
      <c r="BF24" s="1034"/>
      <c r="BG24" s="1034"/>
      <c r="BH24" s="1034"/>
      <c r="BI24" s="1034"/>
      <c r="BJ24" s="1034"/>
      <c r="BK24" s="1034"/>
      <c r="BL24" s="1034"/>
      <c r="BM24" s="1034"/>
    </row>
    <row r="25" spans="2:65" ht="24.75" customHeight="1">
      <c r="B25" s="881" t="s">
        <v>396</v>
      </c>
      <c r="C25" s="881"/>
      <c r="D25" s="881"/>
      <c r="E25" s="881"/>
      <c r="F25" s="1034" t="s">
        <v>202</v>
      </c>
      <c r="G25" s="1034"/>
      <c r="H25" s="1034"/>
      <c r="I25" s="1034"/>
      <c r="J25" s="1034"/>
      <c r="K25" s="1034"/>
      <c r="L25" s="1034"/>
      <c r="M25" s="1034"/>
      <c r="N25" s="1034"/>
      <c r="O25" s="1034"/>
      <c r="P25" s="1034" t="str">
        <f t="shared" ref="P25:P33" si="5">IF(F25="(選択)","",IF(F25="有","カラー写真２～３枚(現物の個数、設置場所等が複数の画角から確認できるもの","履行完了届や報告書など、購入等先が発行する契約の履行を証明する書類"))</f>
        <v/>
      </c>
      <c r="Q25" s="1034"/>
      <c r="R25" s="1034"/>
      <c r="S25" s="1034"/>
      <c r="T25" s="1034"/>
      <c r="U25" s="1034"/>
      <c r="V25" s="1034"/>
      <c r="W25" s="1034"/>
      <c r="X25" s="1034"/>
      <c r="Y25" s="1034"/>
      <c r="Z25" s="1034"/>
      <c r="AA25" s="1034"/>
      <c r="AB25" s="1034"/>
      <c r="AC25" s="1034"/>
      <c r="AD25" s="1034"/>
      <c r="AE25" s="1034"/>
      <c r="AF25" s="1034"/>
      <c r="AG25" s="1034"/>
      <c r="AH25" s="1034"/>
      <c r="AI25" s="1034"/>
      <c r="AJ25" s="1034"/>
      <c r="AK25" s="1034"/>
      <c r="AL25" s="1034"/>
      <c r="AM25" s="1034"/>
      <c r="AN25" s="1034"/>
      <c r="AO25" s="1034"/>
      <c r="AP25" s="1034"/>
      <c r="AQ25" s="1034"/>
      <c r="AR25" s="1034"/>
      <c r="AS25" s="1034"/>
      <c r="AT25" s="1034"/>
      <c r="AU25" s="1034"/>
      <c r="AV25" s="1034"/>
      <c r="AW25" s="1034"/>
      <c r="AX25" s="1034"/>
      <c r="AY25" s="1034"/>
      <c r="AZ25" s="1034"/>
      <c r="BA25" s="1034"/>
      <c r="BB25" s="1034"/>
      <c r="BC25" s="1034"/>
      <c r="BD25" s="1034"/>
      <c r="BE25" s="1034"/>
      <c r="BF25" s="1034"/>
      <c r="BG25" s="1034"/>
      <c r="BH25" s="1034"/>
      <c r="BI25" s="1034"/>
      <c r="BJ25" s="1034"/>
      <c r="BK25" s="1034"/>
      <c r="BL25" s="1034"/>
      <c r="BM25" s="1034"/>
    </row>
    <row r="26" spans="2:65" ht="24.75" customHeight="1">
      <c r="B26" s="881" t="s">
        <v>397</v>
      </c>
      <c r="C26" s="881"/>
      <c r="D26" s="881"/>
      <c r="E26" s="881"/>
      <c r="F26" s="1034" t="s">
        <v>202</v>
      </c>
      <c r="G26" s="1034"/>
      <c r="H26" s="1034"/>
      <c r="I26" s="1034"/>
      <c r="J26" s="1034"/>
      <c r="K26" s="1034"/>
      <c r="L26" s="1034"/>
      <c r="M26" s="1034"/>
      <c r="N26" s="1034"/>
      <c r="O26" s="1034"/>
      <c r="P26" s="1034" t="str">
        <f t="shared" si="5"/>
        <v/>
      </c>
      <c r="Q26" s="1034"/>
      <c r="R26" s="1034"/>
      <c r="S26" s="1034"/>
      <c r="T26" s="1034"/>
      <c r="U26" s="1034"/>
      <c r="V26" s="1034"/>
      <c r="W26" s="1034"/>
      <c r="X26" s="1034"/>
      <c r="Y26" s="1034"/>
      <c r="Z26" s="1034"/>
      <c r="AA26" s="1034"/>
      <c r="AB26" s="1034"/>
      <c r="AC26" s="1034"/>
      <c r="AD26" s="1034"/>
      <c r="AE26" s="1034"/>
      <c r="AF26" s="1034"/>
      <c r="AG26" s="1034"/>
      <c r="AH26" s="1034"/>
      <c r="AI26" s="1034"/>
      <c r="AJ26" s="1034"/>
      <c r="AK26" s="1034"/>
      <c r="AL26" s="1034"/>
      <c r="AM26" s="1034"/>
      <c r="AN26" s="1034"/>
      <c r="AO26" s="1034"/>
      <c r="AP26" s="1034"/>
      <c r="AQ26" s="1034"/>
      <c r="AR26" s="1034"/>
      <c r="AS26" s="1034"/>
      <c r="AT26" s="1034"/>
      <c r="AU26" s="1034"/>
      <c r="AV26" s="1034"/>
      <c r="AW26" s="1034"/>
      <c r="AX26" s="1034"/>
      <c r="AY26" s="1034"/>
      <c r="AZ26" s="1034"/>
      <c r="BA26" s="1034"/>
      <c r="BB26" s="1034"/>
      <c r="BC26" s="1034"/>
      <c r="BD26" s="1034"/>
      <c r="BE26" s="1034"/>
      <c r="BF26" s="1034"/>
      <c r="BG26" s="1034"/>
      <c r="BH26" s="1034"/>
      <c r="BI26" s="1034"/>
      <c r="BJ26" s="1034"/>
      <c r="BK26" s="1034"/>
      <c r="BL26" s="1034"/>
      <c r="BM26" s="1034"/>
    </row>
    <row r="27" spans="2:65" ht="24.75" customHeight="1">
      <c r="B27" s="881" t="s">
        <v>398</v>
      </c>
      <c r="C27" s="881"/>
      <c r="D27" s="881"/>
      <c r="E27" s="881"/>
      <c r="F27" s="1034" t="s">
        <v>202</v>
      </c>
      <c r="G27" s="1034"/>
      <c r="H27" s="1034"/>
      <c r="I27" s="1034"/>
      <c r="J27" s="1034"/>
      <c r="K27" s="1034"/>
      <c r="L27" s="1034"/>
      <c r="M27" s="1034"/>
      <c r="N27" s="1034"/>
      <c r="O27" s="1034"/>
      <c r="P27" s="1034" t="str">
        <f t="shared" si="5"/>
        <v/>
      </c>
      <c r="Q27" s="1034"/>
      <c r="R27" s="1034"/>
      <c r="S27" s="1034"/>
      <c r="T27" s="1034"/>
      <c r="U27" s="1034"/>
      <c r="V27" s="1034"/>
      <c r="W27" s="1034"/>
      <c r="X27" s="1034"/>
      <c r="Y27" s="1034"/>
      <c r="Z27" s="1034"/>
      <c r="AA27" s="1034"/>
      <c r="AB27" s="1034"/>
      <c r="AC27" s="1034"/>
      <c r="AD27" s="1034"/>
      <c r="AE27" s="1034"/>
      <c r="AF27" s="1034"/>
      <c r="AG27" s="1034"/>
      <c r="AH27" s="1034"/>
      <c r="AI27" s="1034"/>
      <c r="AJ27" s="1034"/>
      <c r="AK27" s="1034"/>
      <c r="AL27" s="1034"/>
      <c r="AM27" s="1034"/>
      <c r="AN27" s="1034"/>
      <c r="AO27" s="1034"/>
      <c r="AP27" s="1034"/>
      <c r="AQ27" s="1034"/>
      <c r="AR27" s="1034"/>
      <c r="AS27" s="1034"/>
      <c r="AT27" s="1034"/>
      <c r="AU27" s="1034"/>
      <c r="AV27" s="1034"/>
      <c r="AW27" s="1034"/>
      <c r="AX27" s="1034"/>
      <c r="AY27" s="1034"/>
      <c r="AZ27" s="1034"/>
      <c r="BA27" s="1034"/>
      <c r="BB27" s="1034"/>
      <c r="BC27" s="1034"/>
      <c r="BD27" s="1034"/>
      <c r="BE27" s="1034"/>
      <c r="BF27" s="1034"/>
      <c r="BG27" s="1034"/>
      <c r="BH27" s="1034"/>
      <c r="BI27" s="1034"/>
      <c r="BJ27" s="1034"/>
      <c r="BK27" s="1034"/>
      <c r="BL27" s="1034"/>
      <c r="BM27" s="1034"/>
    </row>
    <row r="28" spans="2:65" ht="24.75" customHeight="1">
      <c r="B28" s="881" t="s">
        <v>399</v>
      </c>
      <c r="C28" s="881"/>
      <c r="D28" s="881"/>
      <c r="E28" s="881"/>
      <c r="F28" s="1034" t="s">
        <v>202</v>
      </c>
      <c r="G28" s="1034"/>
      <c r="H28" s="1034"/>
      <c r="I28" s="1034"/>
      <c r="J28" s="1034"/>
      <c r="K28" s="1034"/>
      <c r="L28" s="1034"/>
      <c r="M28" s="1034"/>
      <c r="N28" s="1034"/>
      <c r="O28" s="1034"/>
      <c r="P28" s="1034" t="str">
        <f t="shared" si="5"/>
        <v/>
      </c>
      <c r="Q28" s="1034"/>
      <c r="R28" s="1034"/>
      <c r="S28" s="1034"/>
      <c r="T28" s="1034"/>
      <c r="U28" s="1034"/>
      <c r="V28" s="1034"/>
      <c r="W28" s="1034"/>
      <c r="X28" s="1034"/>
      <c r="Y28" s="1034"/>
      <c r="Z28" s="1034"/>
      <c r="AA28" s="1034"/>
      <c r="AB28" s="1034"/>
      <c r="AC28" s="1034"/>
      <c r="AD28" s="1034"/>
      <c r="AE28" s="1034"/>
      <c r="AF28" s="1034"/>
      <c r="AG28" s="1034"/>
      <c r="AH28" s="1034"/>
      <c r="AI28" s="1034"/>
      <c r="AJ28" s="1034"/>
      <c r="AK28" s="1034"/>
      <c r="AL28" s="1034"/>
      <c r="AM28" s="1034"/>
      <c r="AN28" s="1034"/>
      <c r="AO28" s="1034"/>
      <c r="AP28" s="1034"/>
      <c r="AQ28" s="1034"/>
      <c r="AR28" s="1034"/>
      <c r="AS28" s="1034"/>
      <c r="AT28" s="1034"/>
      <c r="AU28" s="1034"/>
      <c r="AV28" s="1034"/>
      <c r="AW28" s="1034"/>
      <c r="AX28" s="1034"/>
      <c r="AY28" s="1034"/>
      <c r="AZ28" s="1034"/>
      <c r="BA28" s="1034"/>
      <c r="BB28" s="1034"/>
      <c r="BC28" s="1034"/>
      <c r="BD28" s="1034"/>
      <c r="BE28" s="1034"/>
      <c r="BF28" s="1034"/>
      <c r="BG28" s="1034"/>
      <c r="BH28" s="1034"/>
      <c r="BI28" s="1034"/>
      <c r="BJ28" s="1034"/>
      <c r="BK28" s="1034"/>
      <c r="BL28" s="1034"/>
      <c r="BM28" s="1034"/>
    </row>
    <row r="29" spans="2:65" ht="24.75" customHeight="1">
      <c r="B29" s="881" t="s">
        <v>400</v>
      </c>
      <c r="C29" s="881"/>
      <c r="D29" s="881"/>
      <c r="E29" s="881"/>
      <c r="F29" s="1034" t="s">
        <v>202</v>
      </c>
      <c r="G29" s="1034"/>
      <c r="H29" s="1034"/>
      <c r="I29" s="1034"/>
      <c r="J29" s="1034"/>
      <c r="K29" s="1034"/>
      <c r="L29" s="1034"/>
      <c r="M29" s="1034"/>
      <c r="N29" s="1034"/>
      <c r="O29" s="1034"/>
      <c r="P29" s="1034" t="str">
        <f t="shared" si="5"/>
        <v/>
      </c>
      <c r="Q29" s="1034"/>
      <c r="R29" s="1034"/>
      <c r="S29" s="1034"/>
      <c r="T29" s="1034"/>
      <c r="U29" s="1034"/>
      <c r="V29" s="1034"/>
      <c r="W29" s="1034"/>
      <c r="X29" s="1034"/>
      <c r="Y29" s="1034"/>
      <c r="Z29" s="1034"/>
      <c r="AA29" s="1034"/>
      <c r="AB29" s="1034"/>
      <c r="AC29" s="1034"/>
      <c r="AD29" s="1034"/>
      <c r="AE29" s="1034"/>
      <c r="AF29" s="1034"/>
      <c r="AG29" s="1034"/>
      <c r="AH29" s="1034"/>
      <c r="AI29" s="1034"/>
      <c r="AJ29" s="1034"/>
      <c r="AK29" s="1034"/>
      <c r="AL29" s="1034"/>
      <c r="AM29" s="1034"/>
      <c r="AN29" s="1034"/>
      <c r="AO29" s="1034"/>
      <c r="AP29" s="1034"/>
      <c r="AQ29" s="1034"/>
      <c r="AR29" s="1034"/>
      <c r="AS29" s="1034"/>
      <c r="AT29" s="1034"/>
      <c r="AU29" s="1034"/>
      <c r="AV29" s="1034"/>
      <c r="AW29" s="1034"/>
      <c r="AX29" s="1034"/>
      <c r="AY29" s="1034"/>
      <c r="AZ29" s="1034"/>
      <c r="BA29" s="1034"/>
      <c r="BB29" s="1034"/>
      <c r="BC29" s="1034"/>
      <c r="BD29" s="1034"/>
      <c r="BE29" s="1034"/>
      <c r="BF29" s="1034"/>
      <c r="BG29" s="1034"/>
      <c r="BH29" s="1034"/>
      <c r="BI29" s="1034"/>
      <c r="BJ29" s="1034"/>
      <c r="BK29" s="1034"/>
      <c r="BL29" s="1034"/>
      <c r="BM29" s="1034"/>
    </row>
    <row r="30" spans="2:65" ht="24.75" customHeight="1">
      <c r="B30" s="881" t="s">
        <v>401</v>
      </c>
      <c r="C30" s="881"/>
      <c r="D30" s="881"/>
      <c r="E30" s="881"/>
      <c r="F30" s="1034" t="s">
        <v>202</v>
      </c>
      <c r="G30" s="1034"/>
      <c r="H30" s="1034"/>
      <c r="I30" s="1034"/>
      <c r="J30" s="1034"/>
      <c r="K30" s="1034"/>
      <c r="L30" s="1034"/>
      <c r="M30" s="1034"/>
      <c r="N30" s="1034"/>
      <c r="O30" s="1034"/>
      <c r="P30" s="1034" t="str">
        <f t="shared" si="5"/>
        <v/>
      </c>
      <c r="Q30" s="1034"/>
      <c r="R30" s="1034"/>
      <c r="S30" s="1034"/>
      <c r="T30" s="1034"/>
      <c r="U30" s="1034"/>
      <c r="V30" s="1034"/>
      <c r="W30" s="1034"/>
      <c r="X30" s="1034"/>
      <c r="Y30" s="1034"/>
      <c r="Z30" s="1034"/>
      <c r="AA30" s="1034"/>
      <c r="AB30" s="1034"/>
      <c r="AC30" s="1034"/>
      <c r="AD30" s="1034"/>
      <c r="AE30" s="1034"/>
      <c r="AF30" s="1034"/>
      <c r="AG30" s="1034"/>
      <c r="AH30" s="1034"/>
      <c r="AI30" s="1034"/>
      <c r="AJ30" s="1034"/>
      <c r="AK30" s="1034"/>
      <c r="AL30" s="1034"/>
      <c r="AM30" s="1034"/>
      <c r="AN30" s="1034"/>
      <c r="AO30" s="1034"/>
      <c r="AP30" s="1034"/>
      <c r="AQ30" s="1034"/>
      <c r="AR30" s="1034"/>
      <c r="AS30" s="1034"/>
      <c r="AT30" s="1034"/>
      <c r="AU30" s="1034"/>
      <c r="AV30" s="1034"/>
      <c r="AW30" s="1034"/>
      <c r="AX30" s="1034"/>
      <c r="AY30" s="1034"/>
      <c r="AZ30" s="1034"/>
      <c r="BA30" s="1034"/>
      <c r="BB30" s="1034"/>
      <c r="BC30" s="1034"/>
      <c r="BD30" s="1034"/>
      <c r="BE30" s="1034"/>
      <c r="BF30" s="1034"/>
      <c r="BG30" s="1034"/>
      <c r="BH30" s="1034"/>
      <c r="BI30" s="1034"/>
      <c r="BJ30" s="1034"/>
      <c r="BK30" s="1034"/>
      <c r="BL30" s="1034"/>
      <c r="BM30" s="1034"/>
    </row>
    <row r="31" spans="2:65" ht="24.75" customHeight="1">
      <c r="B31" s="881" t="s">
        <v>402</v>
      </c>
      <c r="C31" s="881"/>
      <c r="D31" s="881"/>
      <c r="E31" s="881"/>
      <c r="F31" s="1034" t="s">
        <v>202</v>
      </c>
      <c r="G31" s="1034"/>
      <c r="H31" s="1034"/>
      <c r="I31" s="1034"/>
      <c r="J31" s="1034"/>
      <c r="K31" s="1034"/>
      <c r="L31" s="1034"/>
      <c r="M31" s="1034"/>
      <c r="N31" s="1034"/>
      <c r="O31" s="1034"/>
      <c r="P31" s="1034" t="str">
        <f t="shared" si="5"/>
        <v/>
      </c>
      <c r="Q31" s="1034"/>
      <c r="R31" s="1034"/>
      <c r="S31" s="1034"/>
      <c r="T31" s="1034"/>
      <c r="U31" s="1034"/>
      <c r="V31" s="1034"/>
      <c r="W31" s="1034"/>
      <c r="X31" s="1034"/>
      <c r="Y31" s="1034"/>
      <c r="Z31" s="1034"/>
      <c r="AA31" s="1034"/>
      <c r="AB31" s="1034"/>
      <c r="AC31" s="1034"/>
      <c r="AD31" s="1034"/>
      <c r="AE31" s="1034"/>
      <c r="AF31" s="1034"/>
      <c r="AG31" s="1034"/>
      <c r="AH31" s="1034"/>
      <c r="AI31" s="1034"/>
      <c r="AJ31" s="1034"/>
      <c r="AK31" s="1034"/>
      <c r="AL31" s="1034"/>
      <c r="AM31" s="1034"/>
      <c r="AN31" s="1034"/>
      <c r="AO31" s="1034"/>
      <c r="AP31" s="1034"/>
      <c r="AQ31" s="1034"/>
      <c r="AR31" s="1034"/>
      <c r="AS31" s="1034"/>
      <c r="AT31" s="1034"/>
      <c r="AU31" s="1034"/>
      <c r="AV31" s="1034"/>
      <c r="AW31" s="1034"/>
      <c r="AX31" s="1034"/>
      <c r="AY31" s="1034"/>
      <c r="AZ31" s="1034"/>
      <c r="BA31" s="1034"/>
      <c r="BB31" s="1034"/>
      <c r="BC31" s="1034"/>
      <c r="BD31" s="1034"/>
      <c r="BE31" s="1034"/>
      <c r="BF31" s="1034"/>
      <c r="BG31" s="1034"/>
      <c r="BH31" s="1034"/>
      <c r="BI31" s="1034"/>
      <c r="BJ31" s="1034"/>
      <c r="BK31" s="1034"/>
      <c r="BL31" s="1034"/>
      <c r="BM31" s="1034"/>
    </row>
    <row r="32" spans="2:65" ht="24.75" customHeight="1">
      <c r="B32" s="881" t="s">
        <v>403</v>
      </c>
      <c r="C32" s="881"/>
      <c r="D32" s="881"/>
      <c r="E32" s="881"/>
      <c r="F32" s="1034" t="s">
        <v>202</v>
      </c>
      <c r="G32" s="1034"/>
      <c r="H32" s="1034"/>
      <c r="I32" s="1034"/>
      <c r="J32" s="1034"/>
      <c r="K32" s="1034"/>
      <c r="L32" s="1034"/>
      <c r="M32" s="1034"/>
      <c r="N32" s="1034"/>
      <c r="O32" s="1034"/>
      <c r="P32" s="1034" t="str">
        <f t="shared" si="5"/>
        <v/>
      </c>
      <c r="Q32" s="1034"/>
      <c r="R32" s="1034"/>
      <c r="S32" s="1034"/>
      <c r="T32" s="1034"/>
      <c r="U32" s="1034"/>
      <c r="V32" s="1034"/>
      <c r="W32" s="1034"/>
      <c r="X32" s="1034"/>
      <c r="Y32" s="1034"/>
      <c r="Z32" s="1034"/>
      <c r="AA32" s="1034"/>
      <c r="AB32" s="1034"/>
      <c r="AC32" s="1034"/>
      <c r="AD32" s="1034"/>
      <c r="AE32" s="1034"/>
      <c r="AF32" s="1034"/>
      <c r="AG32" s="1034"/>
      <c r="AH32" s="1034"/>
      <c r="AI32" s="1034"/>
      <c r="AJ32" s="1034"/>
      <c r="AK32" s="1034"/>
      <c r="AL32" s="1034"/>
      <c r="AM32" s="1034"/>
      <c r="AN32" s="1034"/>
      <c r="AO32" s="1034"/>
      <c r="AP32" s="1034"/>
      <c r="AQ32" s="1034"/>
      <c r="AR32" s="1034"/>
      <c r="AS32" s="1034"/>
      <c r="AT32" s="1034"/>
      <c r="AU32" s="1034"/>
      <c r="AV32" s="1034"/>
      <c r="AW32" s="1034"/>
      <c r="AX32" s="1034"/>
      <c r="AY32" s="1034"/>
      <c r="AZ32" s="1034"/>
      <c r="BA32" s="1034"/>
      <c r="BB32" s="1034"/>
      <c r="BC32" s="1034"/>
      <c r="BD32" s="1034"/>
      <c r="BE32" s="1034"/>
      <c r="BF32" s="1034"/>
      <c r="BG32" s="1034"/>
      <c r="BH32" s="1034"/>
      <c r="BI32" s="1034"/>
      <c r="BJ32" s="1034"/>
      <c r="BK32" s="1034"/>
      <c r="BL32" s="1034"/>
      <c r="BM32" s="1034"/>
    </row>
    <row r="33" spans="2:65" ht="24.75" customHeight="1">
      <c r="B33" s="881" t="s">
        <v>404</v>
      </c>
      <c r="C33" s="881"/>
      <c r="D33" s="881"/>
      <c r="E33" s="881"/>
      <c r="F33" s="1034" t="s">
        <v>202</v>
      </c>
      <c r="G33" s="1034"/>
      <c r="H33" s="1034"/>
      <c r="I33" s="1034"/>
      <c r="J33" s="1034"/>
      <c r="K33" s="1034"/>
      <c r="L33" s="1034"/>
      <c r="M33" s="1034"/>
      <c r="N33" s="1034"/>
      <c r="O33" s="1034"/>
      <c r="P33" s="1034" t="str">
        <f t="shared" si="5"/>
        <v/>
      </c>
      <c r="Q33" s="1034"/>
      <c r="R33" s="1034"/>
      <c r="S33" s="1034"/>
      <c r="T33" s="1034"/>
      <c r="U33" s="1034"/>
      <c r="V33" s="1034"/>
      <c r="W33" s="1034"/>
      <c r="X33" s="1034"/>
      <c r="Y33" s="1034"/>
      <c r="Z33" s="1034"/>
      <c r="AA33" s="1034"/>
      <c r="AB33" s="1034"/>
      <c r="AC33" s="1034"/>
      <c r="AD33" s="1034"/>
      <c r="AE33" s="1034"/>
      <c r="AF33" s="1034"/>
      <c r="AG33" s="1034"/>
      <c r="AH33" s="1034"/>
      <c r="AI33" s="1034"/>
      <c r="AJ33" s="1034"/>
      <c r="AK33" s="1034"/>
      <c r="AL33" s="1034"/>
      <c r="AM33" s="1034"/>
      <c r="AN33" s="1034"/>
      <c r="AO33" s="1034"/>
      <c r="AP33" s="1034"/>
      <c r="AQ33" s="1034"/>
      <c r="AR33" s="1034"/>
      <c r="AS33" s="1034"/>
      <c r="AT33" s="1034"/>
      <c r="AU33" s="1034"/>
      <c r="AV33" s="1034"/>
      <c r="AW33" s="1034"/>
      <c r="AX33" s="1034"/>
      <c r="AY33" s="1034"/>
      <c r="AZ33" s="1034"/>
      <c r="BA33" s="1034"/>
      <c r="BB33" s="1034"/>
      <c r="BC33" s="1034"/>
      <c r="BD33" s="1034"/>
      <c r="BE33" s="1034"/>
      <c r="BF33" s="1034"/>
      <c r="BG33" s="1034"/>
      <c r="BH33" s="1034"/>
      <c r="BI33" s="1034"/>
      <c r="BJ33" s="1034"/>
      <c r="BK33" s="1034"/>
      <c r="BL33" s="1034"/>
      <c r="BM33" s="1034"/>
    </row>
  </sheetData>
  <mergeCells count="169">
    <mergeCell ref="AM7:AR7"/>
    <mergeCell ref="AS7:AX7"/>
    <mergeCell ref="AY7:BD7"/>
    <mergeCell ref="B8:E8"/>
    <mergeCell ref="F8:O8"/>
    <mergeCell ref="P8:AC8"/>
    <mergeCell ref="AD8:AF8"/>
    <mergeCell ref="AG8:AL8"/>
    <mergeCell ref="AM8:AR8"/>
    <mergeCell ref="AS8:AX8"/>
    <mergeCell ref="AY8:BD8"/>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F11:O11"/>
    <mergeCell ref="P11:AC11"/>
    <mergeCell ref="AD11:AF11"/>
    <mergeCell ref="AG11:AL11"/>
    <mergeCell ref="AM11:AR11"/>
    <mergeCell ref="B10:E10"/>
    <mergeCell ref="F10:O10"/>
    <mergeCell ref="P10:AC10"/>
    <mergeCell ref="AD10:AF10"/>
    <mergeCell ref="AG10:AL10"/>
    <mergeCell ref="AM10:AR10"/>
    <mergeCell ref="AS10:AX10"/>
    <mergeCell ref="AY12:BD12"/>
    <mergeCell ref="BE12:BG12"/>
    <mergeCell ref="BH12:BJ12"/>
    <mergeCell ref="BK12:BM12"/>
    <mergeCell ref="AS11:AX11"/>
    <mergeCell ref="AY11:BD11"/>
    <mergeCell ref="BE11:BG11"/>
    <mergeCell ref="BH11:BJ11"/>
    <mergeCell ref="BK11:BM11"/>
    <mergeCell ref="B14:E14"/>
    <mergeCell ref="F14:O14"/>
    <mergeCell ref="P14:AC14"/>
    <mergeCell ref="AD14:AF14"/>
    <mergeCell ref="AG14:AL14"/>
    <mergeCell ref="B13:E13"/>
    <mergeCell ref="F13:O13"/>
    <mergeCell ref="P13:AC13"/>
    <mergeCell ref="AD13:AF13"/>
    <mergeCell ref="AG13:AL13"/>
    <mergeCell ref="AM14:AR14"/>
    <mergeCell ref="AS14:AX14"/>
    <mergeCell ref="AY14:BD14"/>
    <mergeCell ref="BE14:BG14"/>
    <mergeCell ref="BH14:BJ14"/>
    <mergeCell ref="BK14:BM14"/>
    <mergeCell ref="AS13:AX13"/>
    <mergeCell ref="AY13:BD13"/>
    <mergeCell ref="BE13:BG13"/>
    <mergeCell ref="BH13:BJ13"/>
    <mergeCell ref="BK13:BM13"/>
    <mergeCell ref="AM13:AR13"/>
    <mergeCell ref="B16:E16"/>
    <mergeCell ref="F16:O16"/>
    <mergeCell ref="P16:AC16"/>
    <mergeCell ref="AD16:AF16"/>
    <mergeCell ref="AG16:AL16"/>
    <mergeCell ref="B15:E15"/>
    <mergeCell ref="F15:O15"/>
    <mergeCell ref="P15:AC15"/>
    <mergeCell ref="AD15:AF15"/>
    <mergeCell ref="AG15:AL15"/>
    <mergeCell ref="AM16:AR16"/>
    <mergeCell ref="AS16:AX16"/>
    <mergeCell ref="AY16:BD16"/>
    <mergeCell ref="BE16:BG16"/>
    <mergeCell ref="BH16:BJ16"/>
    <mergeCell ref="BK16:BM16"/>
    <mergeCell ref="AS15:AX15"/>
    <mergeCell ref="AY15:BD15"/>
    <mergeCell ref="BE15:BG15"/>
    <mergeCell ref="BH15:BJ15"/>
    <mergeCell ref="BK15:BM15"/>
    <mergeCell ref="AM15:AR15"/>
    <mergeCell ref="B18:E18"/>
    <mergeCell ref="F18:O18"/>
    <mergeCell ref="P18:AC18"/>
    <mergeCell ref="AD18:AF18"/>
    <mergeCell ref="AG18:AL18"/>
    <mergeCell ref="B17:E17"/>
    <mergeCell ref="F17:O17"/>
    <mergeCell ref="P17:AC17"/>
    <mergeCell ref="AD17:AF17"/>
    <mergeCell ref="AG17:AL17"/>
    <mergeCell ref="AM18:AR18"/>
    <mergeCell ref="AS18:AX18"/>
    <mergeCell ref="AY18:BD18"/>
    <mergeCell ref="BE18:BG18"/>
    <mergeCell ref="BH18:BJ18"/>
    <mergeCell ref="BK18:BM18"/>
    <mergeCell ref="AS17:AX17"/>
    <mergeCell ref="AY17:BD17"/>
    <mergeCell ref="BE17:BG17"/>
    <mergeCell ref="BH17:BJ17"/>
    <mergeCell ref="BK17:BM17"/>
    <mergeCell ref="AM17:AR17"/>
    <mergeCell ref="AS19:AX19"/>
    <mergeCell ref="AY19:BD19"/>
    <mergeCell ref="BE19:BG19"/>
    <mergeCell ref="BH19:BJ19"/>
    <mergeCell ref="BK19:BM19"/>
    <mergeCell ref="AM20:AR20"/>
    <mergeCell ref="AS20:AX20"/>
    <mergeCell ref="AY20:BD20"/>
    <mergeCell ref="B19:E19"/>
    <mergeCell ref="F19:O19"/>
    <mergeCell ref="P19:AC19"/>
    <mergeCell ref="AD19:AF19"/>
    <mergeCell ref="AG19:AL19"/>
    <mergeCell ref="AM19:AR19"/>
    <mergeCell ref="B25:E25"/>
    <mergeCell ref="F25:O25"/>
    <mergeCell ref="P25:BM25"/>
    <mergeCell ref="B26:E26"/>
    <mergeCell ref="F26:O26"/>
    <mergeCell ref="P26:BM26"/>
    <mergeCell ref="B23:E23"/>
    <mergeCell ref="F23:O23"/>
    <mergeCell ref="P23:BM23"/>
    <mergeCell ref="B24:E24"/>
    <mergeCell ref="F24:O24"/>
    <mergeCell ref="P24:BM24"/>
    <mergeCell ref="B29:E29"/>
    <mergeCell ref="F29:O29"/>
    <mergeCell ref="P29:BM29"/>
    <mergeCell ref="B30:E30"/>
    <mergeCell ref="F30:O30"/>
    <mergeCell ref="P30:BM30"/>
    <mergeCell ref="B27:E27"/>
    <mergeCell ref="F27:O27"/>
    <mergeCell ref="P27:BM27"/>
    <mergeCell ref="B28:E28"/>
    <mergeCell ref="F28:O28"/>
    <mergeCell ref="P28:BM28"/>
    <mergeCell ref="B33:E33"/>
    <mergeCell ref="F33:O33"/>
    <mergeCell ref="P33:BM33"/>
    <mergeCell ref="B31:E31"/>
    <mergeCell ref="F31:O31"/>
    <mergeCell ref="P31:BM31"/>
    <mergeCell ref="B32:E32"/>
    <mergeCell ref="F32:O32"/>
    <mergeCell ref="P32:BM32"/>
  </mergeCells>
  <phoneticPr fontId="41"/>
  <dataValidations count="2">
    <dataValidation type="list" allowBlank="1" showInputMessage="1" showErrorMessage="1" sqref="F24:O33" xr:uid="{00000000-0002-0000-1300-000000000000}">
      <formula1>"(選択),有,無"</formula1>
    </dataValidation>
    <dataValidation type="list" allowBlank="1" showInputMessage="1" showErrorMessage="1" sqref="AD10:AD19" xr:uid="{00000000-0002-0000-1300-000001000000}">
      <formula1>"(選択),購入,リース,レンタル"</formula1>
    </dataValidation>
  </dataValidations>
  <pageMargins left="0.7" right="0.7" top="0.75" bottom="0.75" header="0.3" footer="0.3"/>
  <pageSetup paperSize="9" scale="57"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4" tint="0.79998168889431442"/>
  </sheetPr>
  <dimension ref="B1:BK15"/>
  <sheetViews>
    <sheetView tabSelected="1" view="pageBreakPreview" zoomScale="209" zoomScaleNormal="100" zoomScaleSheetLayoutView="209" workbookViewId="0">
      <selection activeCell="AF12" sqref="AF12:BK12"/>
    </sheetView>
  </sheetViews>
  <sheetFormatPr baseColWidth="10" defaultColWidth="2" defaultRowHeight="18"/>
  <cols>
    <col min="1" max="1" width="0.83203125" style="94" customWidth="1"/>
    <col min="2" max="63" width="2" style="94"/>
    <col min="64" max="64" width="0.83203125" style="94" customWidth="1"/>
    <col min="65" max="81" width="2" style="94"/>
    <col min="82" max="82" width="2" style="94" customWidth="1"/>
    <col min="83" max="16384" width="2" style="94"/>
  </cols>
  <sheetData>
    <row r="1" spans="2:63">
      <c r="B1" s="123" t="s">
        <v>408</v>
      </c>
      <c r="C1" s="130"/>
    </row>
    <row r="2" spans="2:63">
      <c r="B2" s="95"/>
      <c r="C2" s="96" t="s">
        <v>421</v>
      </c>
    </row>
    <row r="3" spans="2:63">
      <c r="C3" s="94" t="s">
        <v>409</v>
      </c>
    </row>
    <row r="5" spans="2:63">
      <c r="B5" s="97"/>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c r="AE5" s="97"/>
      <c r="AF5" s="97"/>
      <c r="AG5" s="97"/>
      <c r="AH5" s="97"/>
      <c r="AI5" s="97"/>
      <c r="AJ5" s="97"/>
      <c r="AK5" s="97"/>
      <c r="AL5" s="97"/>
      <c r="AM5" s="97"/>
      <c r="AN5" s="97"/>
      <c r="AO5" s="903"/>
      <c r="AP5" s="903"/>
      <c r="AQ5" s="903"/>
      <c r="AR5" s="903"/>
      <c r="AS5" s="903"/>
      <c r="AT5" s="903"/>
      <c r="AU5" s="903"/>
      <c r="AV5" s="903"/>
      <c r="AW5" s="903"/>
      <c r="AX5" s="903"/>
      <c r="AY5" s="903"/>
      <c r="AZ5" s="903"/>
      <c r="BA5" s="903"/>
      <c r="BB5" s="903"/>
      <c r="BC5" s="97"/>
      <c r="BD5" s="97"/>
      <c r="BE5" s="97"/>
      <c r="BF5" s="98"/>
      <c r="BG5" s="98"/>
      <c r="BH5" s="97"/>
      <c r="BI5" s="97"/>
      <c r="BJ5" s="97"/>
      <c r="BK5" s="99"/>
    </row>
    <row r="6" spans="2:63" ht="23.5" customHeight="1">
      <c r="B6" s="904" t="s">
        <v>250</v>
      </c>
      <c r="C6" s="891"/>
      <c r="D6" s="891"/>
      <c r="E6" s="892"/>
      <c r="F6" s="1048" t="s">
        <v>477</v>
      </c>
      <c r="G6" s="1036"/>
      <c r="H6" s="1036"/>
      <c r="I6" s="1036"/>
      <c r="J6" s="1036"/>
      <c r="K6" s="1036"/>
      <c r="L6" s="1036"/>
      <c r="M6" s="1036"/>
      <c r="N6" s="1036"/>
      <c r="O6" s="1036"/>
      <c r="P6" s="1036"/>
      <c r="Q6" s="1036"/>
      <c r="R6" s="1036"/>
      <c r="S6" s="1036"/>
      <c r="T6" s="1036"/>
      <c r="U6" s="1036"/>
      <c r="V6" s="1036"/>
      <c r="W6" s="1036"/>
      <c r="X6" s="1036"/>
      <c r="Y6" s="1036"/>
      <c r="Z6" s="1036"/>
      <c r="AA6" s="1036"/>
      <c r="AB6" s="1036"/>
      <c r="AC6" s="1036"/>
      <c r="AD6" s="1036"/>
      <c r="AE6" s="1037"/>
      <c r="AF6" s="904" t="s">
        <v>410</v>
      </c>
      <c r="AG6" s="891"/>
      <c r="AH6" s="891"/>
      <c r="AI6" s="891"/>
      <c r="AJ6" s="891"/>
      <c r="AK6" s="891"/>
      <c r="AL6" s="891"/>
      <c r="AM6" s="891"/>
      <c r="AN6" s="891"/>
      <c r="AO6" s="891"/>
      <c r="AP6" s="891"/>
      <c r="AQ6" s="891"/>
      <c r="AR6" s="891"/>
      <c r="AS6" s="891"/>
      <c r="AT6" s="891"/>
      <c r="AU6" s="891"/>
      <c r="AV6" s="891"/>
      <c r="AW6" s="891"/>
      <c r="AX6" s="891"/>
      <c r="AY6" s="891"/>
      <c r="AZ6" s="891"/>
      <c r="BA6" s="891"/>
      <c r="BB6" s="891"/>
      <c r="BC6" s="891"/>
      <c r="BD6" s="891"/>
      <c r="BE6" s="891"/>
      <c r="BF6" s="891"/>
      <c r="BG6" s="891"/>
      <c r="BH6" s="891"/>
      <c r="BI6" s="891"/>
      <c r="BJ6" s="891"/>
      <c r="BK6" s="892"/>
    </row>
    <row r="7" spans="2:63" ht="23.5" customHeight="1">
      <c r="B7" s="1039" t="s">
        <v>259</v>
      </c>
      <c r="C7" s="1040"/>
      <c r="D7" s="1040"/>
      <c r="E7" s="1041"/>
      <c r="F7" s="1042" t="s">
        <v>515</v>
      </c>
      <c r="G7" s="891"/>
      <c r="H7" s="891"/>
      <c r="I7" s="891"/>
      <c r="J7" s="891"/>
      <c r="K7" s="891"/>
      <c r="L7" s="891"/>
      <c r="M7" s="891"/>
      <c r="N7" s="891"/>
      <c r="O7" s="891"/>
      <c r="P7" s="891"/>
      <c r="Q7" s="891"/>
      <c r="R7" s="892"/>
      <c r="S7" s="1041" t="s">
        <v>411</v>
      </c>
      <c r="T7" s="1043"/>
      <c r="U7" s="1043"/>
      <c r="V7" s="1043"/>
      <c r="W7" s="1043"/>
      <c r="X7" s="1043"/>
      <c r="Y7" s="1043"/>
      <c r="Z7" s="1043"/>
      <c r="AA7" s="1043"/>
      <c r="AB7" s="1043"/>
      <c r="AC7" s="1043"/>
      <c r="AD7" s="1043"/>
      <c r="AE7" s="1043"/>
      <c r="AF7" s="1044" t="s">
        <v>514</v>
      </c>
      <c r="AG7" s="1040"/>
      <c r="AH7" s="1040"/>
      <c r="AI7" s="1040"/>
      <c r="AJ7" s="1040"/>
      <c r="AK7" s="1040"/>
      <c r="AL7" s="1040"/>
      <c r="AM7" s="1040"/>
      <c r="AN7" s="1040"/>
      <c r="AO7" s="1040"/>
      <c r="AP7" s="1040"/>
      <c r="AQ7" s="1040"/>
      <c r="AR7" s="1040"/>
      <c r="AS7" s="1040"/>
      <c r="AT7" s="1040"/>
      <c r="AU7" s="1040"/>
      <c r="AV7" s="1040"/>
      <c r="AW7" s="1040"/>
      <c r="AX7" s="1040"/>
      <c r="AY7" s="1040"/>
      <c r="AZ7" s="1040"/>
      <c r="BA7" s="1040"/>
      <c r="BB7" s="1040"/>
      <c r="BC7" s="1040"/>
      <c r="BD7" s="1040"/>
      <c r="BE7" s="1040"/>
      <c r="BF7" s="1040"/>
      <c r="BG7" s="1040"/>
      <c r="BH7" s="1040"/>
      <c r="BI7" s="1040"/>
      <c r="BJ7" s="1040"/>
      <c r="BK7" s="1041"/>
    </row>
    <row r="8" spans="2:63" ht="34" customHeight="1">
      <c r="B8" s="1110" t="s">
        <v>781</v>
      </c>
      <c r="C8" s="1034"/>
      <c r="D8" s="1034"/>
      <c r="E8" s="1034"/>
      <c r="F8" s="1038">
        <v>1832000</v>
      </c>
      <c r="G8" s="1038"/>
      <c r="H8" s="1038"/>
      <c r="I8" s="1038"/>
      <c r="J8" s="1038"/>
      <c r="K8" s="1038"/>
      <c r="L8" s="1038"/>
      <c r="M8" s="1038"/>
      <c r="N8" s="1038"/>
      <c r="O8" s="1038"/>
      <c r="P8" s="1038"/>
      <c r="Q8" s="1038"/>
      <c r="R8" s="1038"/>
      <c r="S8" s="1045"/>
      <c r="T8" s="1046"/>
      <c r="U8" s="1046"/>
      <c r="V8" s="1046"/>
      <c r="W8" s="1046"/>
      <c r="X8" s="1046"/>
      <c r="Y8" s="1046"/>
      <c r="Z8" s="1046"/>
      <c r="AA8" s="1046"/>
      <c r="AB8" s="1046"/>
      <c r="AC8" s="1046"/>
      <c r="AD8" s="1046"/>
      <c r="AE8" s="1047"/>
      <c r="AF8" s="1033" t="s">
        <v>782</v>
      </c>
      <c r="AG8" s="1033"/>
      <c r="AH8" s="1033"/>
      <c r="AI8" s="1033"/>
      <c r="AJ8" s="1033"/>
      <c r="AK8" s="1033"/>
      <c r="AL8" s="1033"/>
      <c r="AM8" s="1033"/>
      <c r="AN8" s="1033"/>
      <c r="AO8" s="1033"/>
      <c r="AP8" s="1033"/>
      <c r="AQ8" s="1033"/>
      <c r="AR8" s="1033"/>
      <c r="AS8" s="1033"/>
      <c r="AT8" s="1033"/>
      <c r="AU8" s="1033"/>
      <c r="AV8" s="1033"/>
      <c r="AW8" s="1033"/>
      <c r="AX8" s="1033"/>
      <c r="AY8" s="1033"/>
      <c r="AZ8" s="1033"/>
      <c r="BA8" s="1033"/>
      <c r="BB8" s="1033"/>
      <c r="BC8" s="1033"/>
      <c r="BD8" s="1033"/>
      <c r="BE8" s="1033"/>
      <c r="BF8" s="1033"/>
      <c r="BG8" s="1033"/>
      <c r="BH8" s="1033"/>
      <c r="BI8" s="1033"/>
      <c r="BJ8" s="1033"/>
      <c r="BK8" s="1033"/>
    </row>
    <row r="9" spans="2:63" ht="34" customHeight="1">
      <c r="B9" s="1110" t="s">
        <v>680</v>
      </c>
      <c r="C9" s="1034"/>
      <c r="D9" s="1034"/>
      <c r="E9" s="1034"/>
      <c r="F9" s="1038">
        <v>318000</v>
      </c>
      <c r="G9" s="1038"/>
      <c r="H9" s="1038"/>
      <c r="I9" s="1038"/>
      <c r="J9" s="1038"/>
      <c r="K9" s="1038"/>
      <c r="L9" s="1038"/>
      <c r="M9" s="1038"/>
      <c r="N9" s="1038"/>
      <c r="O9" s="1038"/>
      <c r="P9" s="1038"/>
      <c r="Q9" s="1038"/>
      <c r="R9" s="1038"/>
      <c r="S9" s="1038"/>
      <c r="T9" s="1038"/>
      <c r="U9" s="1038"/>
      <c r="V9" s="1038"/>
      <c r="W9" s="1038"/>
      <c r="X9" s="1038"/>
      <c r="Y9" s="1038"/>
      <c r="Z9" s="1038"/>
      <c r="AA9" s="1038"/>
      <c r="AB9" s="1038"/>
      <c r="AC9" s="1038"/>
      <c r="AD9" s="1038"/>
      <c r="AE9" s="1038"/>
      <c r="AF9" s="1033" t="s">
        <v>783</v>
      </c>
      <c r="AG9" s="1033"/>
      <c r="AH9" s="1033"/>
      <c r="AI9" s="1033"/>
      <c r="AJ9" s="1033"/>
      <c r="AK9" s="1033"/>
      <c r="AL9" s="1033"/>
      <c r="AM9" s="1033"/>
      <c r="AN9" s="1033"/>
      <c r="AO9" s="1033"/>
      <c r="AP9" s="1033"/>
      <c r="AQ9" s="1033"/>
      <c r="AR9" s="1033"/>
      <c r="AS9" s="1033"/>
      <c r="AT9" s="1033"/>
      <c r="AU9" s="1033"/>
      <c r="AV9" s="1033"/>
      <c r="AW9" s="1033"/>
      <c r="AX9" s="1033"/>
      <c r="AY9" s="1033"/>
      <c r="AZ9" s="1033"/>
      <c r="BA9" s="1033"/>
      <c r="BB9" s="1033"/>
      <c r="BC9" s="1033"/>
      <c r="BD9" s="1033"/>
      <c r="BE9" s="1033"/>
      <c r="BF9" s="1033"/>
      <c r="BG9" s="1033"/>
      <c r="BH9" s="1033"/>
      <c r="BI9" s="1033"/>
      <c r="BJ9" s="1033"/>
      <c r="BK9" s="1033"/>
    </row>
    <row r="10" spans="2:63" ht="34" customHeight="1">
      <c r="B10" s="1034"/>
      <c r="C10" s="1034"/>
      <c r="D10" s="1034"/>
      <c r="E10" s="1034"/>
      <c r="F10" s="1038"/>
      <c r="G10" s="1038"/>
      <c r="H10" s="1038"/>
      <c r="I10" s="1038"/>
      <c r="J10" s="1038"/>
      <c r="K10" s="1038"/>
      <c r="L10" s="1038"/>
      <c r="M10" s="1038"/>
      <c r="N10" s="1038"/>
      <c r="O10" s="1038"/>
      <c r="P10" s="1038"/>
      <c r="Q10" s="1038"/>
      <c r="R10" s="1038"/>
      <c r="S10" s="1038"/>
      <c r="T10" s="1038"/>
      <c r="U10" s="1038"/>
      <c r="V10" s="1038"/>
      <c r="W10" s="1038"/>
      <c r="X10" s="1038"/>
      <c r="Y10" s="1038"/>
      <c r="Z10" s="1038"/>
      <c r="AA10" s="1038"/>
      <c r="AB10" s="1038"/>
      <c r="AC10" s="1038"/>
      <c r="AD10" s="1038"/>
      <c r="AE10" s="1038"/>
      <c r="AF10" s="1038"/>
      <c r="AG10" s="1038"/>
      <c r="AH10" s="1038"/>
      <c r="AI10" s="1038"/>
      <c r="AJ10" s="1038"/>
      <c r="AK10" s="1038"/>
      <c r="AL10" s="1038"/>
      <c r="AM10" s="1038"/>
      <c r="AN10" s="1038"/>
      <c r="AO10" s="1038"/>
      <c r="AP10" s="1038"/>
      <c r="AQ10" s="1038"/>
      <c r="AR10" s="1038"/>
      <c r="AS10" s="1038"/>
      <c r="AT10" s="1038"/>
      <c r="AU10" s="1038"/>
      <c r="AV10" s="1038"/>
      <c r="AW10" s="1038"/>
      <c r="AX10" s="1038"/>
      <c r="AY10" s="1038"/>
      <c r="AZ10" s="1038"/>
      <c r="BA10" s="1038"/>
      <c r="BB10" s="1038"/>
      <c r="BC10" s="1038"/>
      <c r="BD10" s="1038"/>
      <c r="BE10" s="1038"/>
      <c r="BF10" s="1038"/>
      <c r="BG10" s="1038"/>
      <c r="BH10" s="1038"/>
      <c r="BI10" s="1038"/>
      <c r="BJ10" s="1038"/>
      <c r="BK10" s="1038"/>
    </row>
    <row r="11" spans="2:63" ht="34" customHeight="1">
      <c r="B11" s="1034"/>
      <c r="C11" s="1034"/>
      <c r="D11" s="1034"/>
      <c r="E11" s="1034"/>
      <c r="F11" s="1034"/>
      <c r="G11" s="1034"/>
      <c r="H11" s="1034"/>
      <c r="I11" s="1034"/>
      <c r="J11" s="1034"/>
      <c r="K11" s="1034"/>
      <c r="L11" s="1034"/>
      <c r="M11" s="1034"/>
      <c r="N11" s="1034"/>
      <c r="O11" s="1034"/>
      <c r="P11" s="1034"/>
      <c r="Q11" s="1034"/>
      <c r="R11" s="1034"/>
      <c r="S11" s="1034"/>
      <c r="T11" s="1034"/>
      <c r="U11" s="1034"/>
      <c r="V11" s="1034"/>
      <c r="W11" s="1034"/>
      <c r="X11" s="1034"/>
      <c r="Y11" s="1034"/>
      <c r="Z11" s="1034"/>
      <c r="AA11" s="1034"/>
      <c r="AB11" s="1034"/>
      <c r="AC11" s="1034"/>
      <c r="AD11" s="1034"/>
      <c r="AE11" s="1034"/>
      <c r="AF11" s="1034"/>
      <c r="AG11" s="1034"/>
      <c r="AH11" s="1034"/>
      <c r="AI11" s="1034"/>
      <c r="AJ11" s="1034"/>
      <c r="AK11" s="1034"/>
      <c r="AL11" s="1034"/>
      <c r="AM11" s="1034"/>
      <c r="AN11" s="1034"/>
      <c r="AO11" s="1034"/>
      <c r="AP11" s="1034"/>
      <c r="AQ11" s="1034"/>
      <c r="AR11" s="1034"/>
      <c r="AS11" s="1034"/>
      <c r="AT11" s="1034"/>
      <c r="AU11" s="1034"/>
      <c r="AV11" s="1034"/>
      <c r="AW11" s="1034"/>
      <c r="AX11" s="1034"/>
      <c r="AY11" s="1034"/>
      <c r="AZ11" s="1034"/>
      <c r="BA11" s="1034"/>
      <c r="BB11" s="1034"/>
      <c r="BC11" s="1034"/>
      <c r="BD11" s="1034"/>
      <c r="BE11" s="1034"/>
      <c r="BF11" s="1034"/>
      <c r="BG11" s="1034"/>
      <c r="BH11" s="1034"/>
      <c r="BI11" s="1034"/>
      <c r="BJ11" s="1034"/>
      <c r="BK11" s="1034"/>
    </row>
    <row r="12" spans="2:63" ht="34" customHeight="1">
      <c r="B12" s="1034"/>
      <c r="C12" s="1034"/>
      <c r="D12" s="1034"/>
      <c r="E12" s="1034"/>
      <c r="F12" s="1034"/>
      <c r="G12" s="1034"/>
      <c r="H12" s="1034"/>
      <c r="I12" s="1034"/>
      <c r="J12" s="1034"/>
      <c r="K12" s="1034"/>
      <c r="L12" s="1034"/>
      <c r="M12" s="1034"/>
      <c r="N12" s="1034"/>
      <c r="O12" s="1034"/>
      <c r="P12" s="1034"/>
      <c r="Q12" s="1034"/>
      <c r="R12" s="1034"/>
      <c r="S12" s="1034"/>
      <c r="T12" s="1034"/>
      <c r="U12" s="1034"/>
      <c r="V12" s="1034"/>
      <c r="W12" s="1034"/>
      <c r="X12" s="1034"/>
      <c r="Y12" s="1034"/>
      <c r="Z12" s="1034"/>
      <c r="AA12" s="1034"/>
      <c r="AB12" s="1034"/>
      <c r="AC12" s="1034"/>
      <c r="AD12" s="1034"/>
      <c r="AE12" s="1034"/>
      <c r="AF12" s="1034"/>
      <c r="AG12" s="1034"/>
      <c r="AH12" s="1034"/>
      <c r="AI12" s="1034"/>
      <c r="AJ12" s="1034"/>
      <c r="AK12" s="1034"/>
      <c r="AL12" s="1034"/>
      <c r="AM12" s="1034"/>
      <c r="AN12" s="1034"/>
      <c r="AO12" s="1034"/>
      <c r="AP12" s="1034"/>
      <c r="AQ12" s="1034"/>
      <c r="AR12" s="1034"/>
      <c r="AS12" s="1034"/>
      <c r="AT12" s="1034"/>
      <c r="AU12" s="1034"/>
      <c r="AV12" s="1034"/>
      <c r="AW12" s="1034"/>
      <c r="AX12" s="1034"/>
      <c r="AY12" s="1034"/>
      <c r="AZ12" s="1034"/>
      <c r="BA12" s="1034"/>
      <c r="BB12" s="1034"/>
      <c r="BC12" s="1034"/>
      <c r="BD12" s="1034"/>
      <c r="BE12" s="1034"/>
      <c r="BF12" s="1034"/>
      <c r="BG12" s="1034"/>
      <c r="BH12" s="1034"/>
      <c r="BI12" s="1034"/>
      <c r="BJ12" s="1034"/>
      <c r="BK12" s="1034"/>
    </row>
    <row r="13" spans="2:63" ht="34" customHeight="1">
      <c r="B13" s="1034"/>
      <c r="C13" s="1034"/>
      <c r="D13" s="1034"/>
      <c r="E13" s="1034"/>
      <c r="F13" s="1034"/>
      <c r="G13" s="1034"/>
      <c r="H13" s="1034"/>
      <c r="I13" s="1034"/>
      <c r="J13" s="1034"/>
      <c r="K13" s="1034"/>
      <c r="L13" s="1034"/>
      <c r="M13" s="1034"/>
      <c r="N13" s="1034"/>
      <c r="O13" s="1034"/>
      <c r="P13" s="1034"/>
      <c r="Q13" s="1034"/>
      <c r="R13" s="1034"/>
      <c r="S13" s="1034"/>
      <c r="T13" s="1034"/>
      <c r="U13" s="1034"/>
      <c r="V13" s="1034"/>
      <c r="W13" s="1034"/>
      <c r="X13" s="1034"/>
      <c r="Y13" s="1034"/>
      <c r="Z13" s="1034"/>
      <c r="AA13" s="1034"/>
      <c r="AB13" s="1034"/>
      <c r="AC13" s="1034"/>
      <c r="AD13" s="1034"/>
      <c r="AE13" s="1034"/>
      <c r="AF13" s="1034"/>
      <c r="AG13" s="1034"/>
      <c r="AH13" s="1034"/>
      <c r="AI13" s="1034"/>
      <c r="AJ13" s="1034"/>
      <c r="AK13" s="1034"/>
      <c r="AL13" s="1034"/>
      <c r="AM13" s="1034"/>
      <c r="AN13" s="1034"/>
      <c r="AO13" s="1034"/>
      <c r="AP13" s="1034"/>
      <c r="AQ13" s="1034"/>
      <c r="AR13" s="1034"/>
      <c r="AS13" s="1034"/>
      <c r="AT13" s="1034"/>
      <c r="AU13" s="1034"/>
      <c r="AV13" s="1034"/>
      <c r="AW13" s="1034"/>
      <c r="AX13" s="1034"/>
      <c r="AY13" s="1034"/>
      <c r="AZ13" s="1034"/>
      <c r="BA13" s="1034"/>
      <c r="BB13" s="1034"/>
      <c r="BC13" s="1034"/>
      <c r="BD13" s="1034"/>
      <c r="BE13" s="1034"/>
      <c r="BF13" s="1034"/>
      <c r="BG13" s="1034"/>
      <c r="BH13" s="1034"/>
      <c r="BI13" s="1034"/>
      <c r="BJ13" s="1034"/>
      <c r="BK13" s="1034"/>
    </row>
    <row r="14" spans="2:63" ht="34" customHeight="1">
      <c r="B14" s="1034"/>
      <c r="C14" s="1034"/>
      <c r="D14" s="1034"/>
      <c r="E14" s="1034"/>
      <c r="F14" s="1034"/>
      <c r="G14" s="1034"/>
      <c r="H14" s="1034"/>
      <c r="I14" s="1034"/>
      <c r="J14" s="1034"/>
      <c r="K14" s="1034"/>
      <c r="L14" s="1034"/>
      <c r="M14" s="1034"/>
      <c r="N14" s="1034"/>
      <c r="O14" s="1034"/>
      <c r="P14" s="1034"/>
      <c r="Q14" s="1034"/>
      <c r="R14" s="1034"/>
      <c r="S14" s="1034"/>
      <c r="T14" s="1034"/>
      <c r="U14" s="1034"/>
      <c r="V14" s="1034"/>
      <c r="W14" s="1034"/>
      <c r="X14" s="1034"/>
      <c r="Y14" s="1034"/>
      <c r="Z14" s="1034"/>
      <c r="AA14" s="1034"/>
      <c r="AB14" s="1034"/>
      <c r="AC14" s="1034"/>
      <c r="AD14" s="1034"/>
      <c r="AE14" s="1034"/>
      <c r="AF14" s="1034"/>
      <c r="AG14" s="1034"/>
      <c r="AH14" s="1034"/>
      <c r="AI14" s="1034"/>
      <c r="AJ14" s="1034"/>
      <c r="AK14" s="1034"/>
      <c r="AL14" s="1034"/>
      <c r="AM14" s="1034"/>
      <c r="AN14" s="1034"/>
      <c r="AO14" s="1034"/>
      <c r="AP14" s="1034"/>
      <c r="AQ14" s="1034"/>
      <c r="AR14" s="1034"/>
      <c r="AS14" s="1034"/>
      <c r="AT14" s="1034"/>
      <c r="AU14" s="1034"/>
      <c r="AV14" s="1034"/>
      <c r="AW14" s="1034"/>
      <c r="AX14" s="1034"/>
      <c r="AY14" s="1034"/>
      <c r="AZ14" s="1034"/>
      <c r="BA14" s="1034"/>
      <c r="BB14" s="1034"/>
      <c r="BC14" s="1034"/>
      <c r="BD14" s="1034"/>
      <c r="BE14" s="1034"/>
      <c r="BF14" s="1034"/>
      <c r="BG14" s="1034"/>
      <c r="BH14" s="1034"/>
      <c r="BI14" s="1034"/>
      <c r="BJ14" s="1034"/>
      <c r="BK14" s="1034"/>
    </row>
    <row r="15" spans="2:63" ht="34" customHeight="1">
      <c r="B15" s="1034"/>
      <c r="C15" s="1034"/>
      <c r="D15" s="1034"/>
      <c r="E15" s="1034"/>
      <c r="F15" s="1034"/>
      <c r="G15" s="1034"/>
      <c r="H15" s="1034"/>
      <c r="I15" s="1034"/>
      <c r="J15" s="1034"/>
      <c r="K15" s="1034"/>
      <c r="L15" s="1034"/>
      <c r="M15" s="1034"/>
      <c r="N15" s="1034"/>
      <c r="O15" s="1034"/>
      <c r="P15" s="1034"/>
      <c r="Q15" s="1034"/>
      <c r="R15" s="1034"/>
      <c r="S15" s="1034"/>
      <c r="T15" s="1034"/>
      <c r="U15" s="1034"/>
      <c r="V15" s="1034"/>
      <c r="W15" s="1034"/>
      <c r="X15" s="1034"/>
      <c r="Y15" s="1034"/>
      <c r="Z15" s="1034"/>
      <c r="AA15" s="1034"/>
      <c r="AB15" s="1034"/>
      <c r="AC15" s="1034"/>
      <c r="AD15" s="1034"/>
      <c r="AE15" s="1034"/>
      <c r="AF15" s="1034"/>
      <c r="AG15" s="1034"/>
      <c r="AH15" s="1034"/>
      <c r="AI15" s="1034"/>
      <c r="AJ15" s="1034"/>
      <c r="AK15" s="1034"/>
      <c r="AL15" s="1034"/>
      <c r="AM15" s="1034"/>
      <c r="AN15" s="1034"/>
      <c r="AO15" s="1034"/>
      <c r="AP15" s="1034"/>
      <c r="AQ15" s="1034"/>
      <c r="AR15" s="1034"/>
      <c r="AS15" s="1034"/>
      <c r="AT15" s="1034"/>
      <c r="AU15" s="1034"/>
      <c r="AV15" s="1034"/>
      <c r="AW15" s="1034"/>
      <c r="AX15" s="1034"/>
      <c r="AY15" s="1034"/>
      <c r="AZ15" s="1034"/>
      <c r="BA15" s="1034"/>
      <c r="BB15" s="1034"/>
      <c r="BC15" s="1034"/>
      <c r="BD15" s="1034"/>
      <c r="BE15" s="1034"/>
      <c r="BF15" s="1034"/>
      <c r="BG15" s="1034"/>
      <c r="BH15" s="1034"/>
      <c r="BI15" s="1034"/>
      <c r="BJ15" s="1034"/>
      <c r="BK15" s="1034"/>
    </row>
  </sheetData>
  <mergeCells count="42">
    <mergeCell ref="AO5:AT5"/>
    <mergeCell ref="AU5:AW5"/>
    <mergeCell ref="AX5:BB5"/>
    <mergeCell ref="B6:E6"/>
    <mergeCell ref="F6:AE6"/>
    <mergeCell ref="AF6:BK6"/>
    <mergeCell ref="B7:E7"/>
    <mergeCell ref="F7:R7"/>
    <mergeCell ref="S7:AE7"/>
    <mergeCell ref="AF7:BK7"/>
    <mergeCell ref="B8:E8"/>
    <mergeCell ref="F8:R8"/>
    <mergeCell ref="S8:AE8"/>
    <mergeCell ref="AF8:BK8"/>
    <mergeCell ref="B9:E9"/>
    <mergeCell ref="F9:R9"/>
    <mergeCell ref="S9:AE9"/>
    <mergeCell ref="AF9:BK9"/>
    <mergeCell ref="B10:E10"/>
    <mergeCell ref="F10:R10"/>
    <mergeCell ref="S10:AE10"/>
    <mergeCell ref="AF10:BK10"/>
    <mergeCell ref="B11:E11"/>
    <mergeCell ref="F11:R11"/>
    <mergeCell ref="S11:AE11"/>
    <mergeCell ref="AF11:BK11"/>
    <mergeCell ref="B12:E12"/>
    <mergeCell ref="F12:R12"/>
    <mergeCell ref="S12:AE12"/>
    <mergeCell ref="AF12:BK12"/>
    <mergeCell ref="B15:E15"/>
    <mergeCell ref="F15:R15"/>
    <mergeCell ref="S15:AE15"/>
    <mergeCell ref="AF15:BK15"/>
    <mergeCell ref="B13:E13"/>
    <mergeCell ref="F13:R13"/>
    <mergeCell ref="S13:AE13"/>
    <mergeCell ref="AF13:BK13"/>
    <mergeCell ref="B14:E14"/>
    <mergeCell ref="F14:R14"/>
    <mergeCell ref="S14:AE14"/>
    <mergeCell ref="AF14:BK14"/>
  </mergeCells>
  <phoneticPr fontId="41"/>
  <dataValidations count="1">
    <dataValidation type="whole" operator="greaterThanOrEqual" allowBlank="1" showInputMessage="1" showErrorMessage="1" errorTitle="エラー" error="0以上の整数を入力してください" sqref="F8:AE15" xr:uid="{00000000-0002-0000-1400-000000000000}">
      <formula1>0</formula1>
    </dataValidation>
  </dataValidations>
  <pageMargins left="0.7" right="0.7" top="0.75" bottom="0.75" header="0.3" footer="0.3"/>
  <pageSetup paperSize="9" scale="5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tint="0.79998168889431442"/>
  </sheetPr>
  <dimension ref="A1:BA42"/>
  <sheetViews>
    <sheetView view="pageBreakPreview" zoomScale="223" zoomScaleNormal="100" zoomScaleSheetLayoutView="223" workbookViewId="0">
      <selection activeCell="AV28" sqref="AV28"/>
    </sheetView>
  </sheetViews>
  <sheetFormatPr baseColWidth="10" defaultColWidth="8.5" defaultRowHeight="18"/>
  <cols>
    <col min="1" max="1" width="2" style="64" customWidth="1"/>
    <col min="2" max="12" width="2.1640625" style="64" customWidth="1"/>
    <col min="13" max="13" width="5.83203125" style="64" bestFit="1" customWidth="1"/>
    <col min="14" max="45" width="1.83203125" style="64" customWidth="1"/>
    <col min="46" max="46" width="0.83203125" style="64" customWidth="1"/>
    <col min="47" max="51" width="8.5" style="64"/>
    <col min="52" max="52" width="26.83203125" style="64" hidden="1" customWidth="1"/>
    <col min="53" max="53" width="0" style="235" hidden="1" customWidth="1"/>
    <col min="54" max="16384" width="8.5" style="64"/>
  </cols>
  <sheetData>
    <row r="1" spans="1:53" ht="20">
      <c r="A1" s="62" t="s">
        <v>525</v>
      </c>
      <c r="B1" s="62"/>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Z1" s="233"/>
      <c r="BA1" s="231" t="s">
        <v>526</v>
      </c>
    </row>
    <row r="2" spans="1:53" ht="20">
      <c r="A2" s="63"/>
      <c r="B2" s="65" t="s">
        <v>135</v>
      </c>
      <c r="C2" s="63"/>
      <c r="D2" s="63"/>
      <c r="E2" s="63"/>
      <c r="F2" s="66"/>
      <c r="G2" s="63"/>
      <c r="H2" s="63"/>
      <c r="I2" s="63"/>
      <c r="J2" s="63"/>
      <c r="K2" s="63"/>
      <c r="L2" s="63"/>
      <c r="M2" s="63"/>
      <c r="N2" s="63"/>
      <c r="O2" s="63"/>
      <c r="P2" s="63"/>
      <c r="Q2" s="63"/>
      <c r="R2" s="63"/>
      <c r="S2" s="63"/>
      <c r="T2" s="63"/>
      <c r="U2" s="63"/>
      <c r="V2" s="63"/>
      <c r="W2" s="63"/>
      <c r="X2" s="63"/>
      <c r="Y2" s="63"/>
      <c r="Z2" s="1095" t="s">
        <v>527</v>
      </c>
      <c r="AA2" s="1096"/>
      <c r="AB2" s="1096"/>
      <c r="AC2" s="1096"/>
      <c r="AD2" s="1096"/>
      <c r="AE2" s="1097"/>
      <c r="AF2" s="1098" t="str">
        <f>IF(OR(表紙!J8="",表紙!J8="(選択)"),"",表紙!J8)</f>
        <v>A: 中小企業者(賃上げなし)</v>
      </c>
      <c r="AG2" s="1099"/>
      <c r="AH2" s="1099"/>
      <c r="AI2" s="1099"/>
      <c r="AJ2" s="1099"/>
      <c r="AK2" s="1099"/>
      <c r="AL2" s="1099"/>
      <c r="AM2" s="1099"/>
      <c r="AN2" s="1099"/>
      <c r="AO2" s="1099"/>
      <c r="AP2" s="1099"/>
      <c r="AQ2" s="1099"/>
      <c r="AR2" s="1099"/>
      <c r="AS2" s="1100"/>
      <c r="AZ2" s="234" t="s">
        <v>564</v>
      </c>
      <c r="BA2" s="232">
        <v>0.66666666666666663</v>
      </c>
    </row>
    <row r="3" spans="1:53">
      <c r="A3" s="67"/>
      <c r="B3" s="67"/>
      <c r="C3" s="67"/>
      <c r="D3" s="67"/>
      <c r="E3" s="67"/>
      <c r="F3" s="68"/>
      <c r="G3" s="69"/>
      <c r="H3" s="69"/>
      <c r="I3" s="69"/>
      <c r="J3" s="69"/>
      <c r="K3" s="69"/>
      <c r="L3" s="69"/>
      <c r="M3" s="69"/>
      <c r="N3" s="69"/>
      <c r="O3" s="69"/>
      <c r="P3" s="69"/>
      <c r="Q3" s="69"/>
      <c r="R3" s="69"/>
      <c r="S3" s="69"/>
      <c r="T3" s="69"/>
      <c r="U3" s="69"/>
      <c r="V3" s="69"/>
      <c r="W3" s="69"/>
      <c r="X3" s="69"/>
      <c r="Y3" s="69"/>
      <c r="Z3" s="1050" t="s">
        <v>526</v>
      </c>
      <c r="AA3" s="1050"/>
      <c r="AB3" s="1050"/>
      <c r="AC3" s="1050"/>
      <c r="AD3" s="1050"/>
      <c r="AE3" s="1050"/>
      <c r="AF3" s="1101">
        <f>IF(AF2="","",VLOOKUP(AF2,$AZ$1:$BA$4,2,FALSE))</f>
        <v>0.66666666666666663</v>
      </c>
      <c r="AG3" s="1101"/>
      <c r="AH3" s="1101"/>
      <c r="AI3" s="1101"/>
      <c r="AJ3" s="1101"/>
      <c r="AK3" s="1101"/>
      <c r="AL3" s="1101"/>
      <c r="AM3" s="1101"/>
      <c r="AN3" s="1101"/>
      <c r="AO3" s="1101"/>
      <c r="AP3" s="1101"/>
      <c r="AQ3" s="1101"/>
      <c r="AR3" s="1101"/>
      <c r="AS3" s="1101"/>
      <c r="AZ3" s="234" t="s">
        <v>528</v>
      </c>
      <c r="BA3" s="232">
        <v>0.75</v>
      </c>
    </row>
    <row r="4" spans="1:53" s="71" customFormat="1" ht="31" customHeight="1">
      <c r="A4" s="65" t="s">
        <v>228</v>
      </c>
      <c r="B4" s="69"/>
      <c r="C4" s="69"/>
      <c r="D4" s="63"/>
      <c r="E4" s="63"/>
      <c r="F4" s="63"/>
      <c r="G4" s="63"/>
      <c r="H4" s="69"/>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70"/>
      <c r="AN4" s="227" t="s">
        <v>136</v>
      </c>
      <c r="AO4" s="70"/>
      <c r="AP4" s="70"/>
      <c r="AQ4" s="70"/>
      <c r="AR4" s="70"/>
      <c r="AS4" s="70"/>
      <c r="AZ4" s="234" t="s">
        <v>572</v>
      </c>
      <c r="BA4" s="232">
        <v>0.8</v>
      </c>
    </row>
    <row r="5" spans="1:53" ht="18" customHeight="1">
      <c r="A5" s="1089" t="s">
        <v>137</v>
      </c>
      <c r="B5" s="1089"/>
      <c r="C5" s="1089"/>
      <c r="D5" s="1089"/>
      <c r="E5" s="1089"/>
      <c r="F5" s="1089"/>
      <c r="G5" s="1089"/>
      <c r="H5" s="1089"/>
      <c r="I5" s="1089"/>
      <c r="J5" s="1089"/>
      <c r="K5" s="1089"/>
      <c r="L5" s="1089"/>
      <c r="M5" s="1089"/>
      <c r="N5" s="1089"/>
      <c r="O5" s="1089"/>
      <c r="P5" s="1090" t="s">
        <v>229</v>
      </c>
      <c r="Q5" s="1091"/>
      <c r="R5" s="1091"/>
      <c r="S5" s="1091"/>
      <c r="T5" s="1091"/>
      <c r="U5" s="1091"/>
      <c r="V5" s="1091"/>
      <c r="W5" s="1091"/>
      <c r="X5" s="1091"/>
      <c r="Y5" s="1092"/>
      <c r="Z5" s="1090" t="s">
        <v>230</v>
      </c>
      <c r="AA5" s="1091"/>
      <c r="AB5" s="1091"/>
      <c r="AC5" s="1091"/>
      <c r="AD5" s="1091"/>
      <c r="AE5" s="1091"/>
      <c r="AF5" s="1091"/>
      <c r="AG5" s="1091"/>
      <c r="AH5" s="1091"/>
      <c r="AI5" s="1092"/>
      <c r="AJ5" s="1090" t="s">
        <v>165</v>
      </c>
      <c r="AK5" s="1091"/>
      <c r="AL5" s="1091"/>
      <c r="AM5" s="1091"/>
      <c r="AN5" s="1091"/>
      <c r="AO5" s="1091"/>
      <c r="AP5" s="1091"/>
      <c r="AQ5" s="1091"/>
      <c r="AR5" s="1091"/>
      <c r="AS5" s="1092"/>
    </row>
    <row r="6" spans="1:53" ht="18" customHeight="1">
      <c r="A6" s="1089"/>
      <c r="B6" s="1089"/>
      <c r="C6" s="1089"/>
      <c r="D6" s="1089"/>
      <c r="E6" s="1089"/>
      <c r="F6" s="1089"/>
      <c r="G6" s="1089"/>
      <c r="H6" s="1089"/>
      <c r="I6" s="1089"/>
      <c r="J6" s="1089"/>
      <c r="K6" s="1089"/>
      <c r="L6" s="1089"/>
      <c r="M6" s="1089"/>
      <c r="N6" s="1089"/>
      <c r="O6" s="1089"/>
      <c r="P6" s="72" t="s">
        <v>231</v>
      </c>
      <c r="Q6" s="73"/>
      <c r="R6" s="73"/>
      <c r="S6" s="73"/>
      <c r="T6" s="73"/>
      <c r="U6" s="73"/>
      <c r="V6" s="73"/>
      <c r="W6" s="73"/>
      <c r="X6" s="73"/>
      <c r="Y6" s="74"/>
      <c r="Z6" s="72" t="s">
        <v>232</v>
      </c>
      <c r="AA6" s="75"/>
      <c r="AB6" s="75"/>
      <c r="AC6" s="75"/>
      <c r="AD6" s="75"/>
      <c r="AE6" s="75"/>
      <c r="AF6" s="75"/>
      <c r="AG6" s="75"/>
      <c r="AH6" s="75"/>
      <c r="AI6" s="76"/>
      <c r="AJ6" s="1093" t="s">
        <v>164</v>
      </c>
      <c r="AK6" s="1094"/>
      <c r="AL6" s="1094"/>
      <c r="AM6" s="1094"/>
      <c r="AN6" s="1094"/>
      <c r="AO6" s="1094"/>
      <c r="AP6" s="1094"/>
      <c r="AQ6" s="209"/>
      <c r="AR6" s="209"/>
      <c r="AS6" s="210"/>
    </row>
    <row r="7" spans="1:53">
      <c r="A7" s="1084" t="s">
        <v>138</v>
      </c>
      <c r="B7" s="1084"/>
      <c r="C7" s="1085" t="s">
        <v>233</v>
      </c>
      <c r="D7" s="1085"/>
      <c r="E7" s="1085"/>
      <c r="F7" s="1085"/>
      <c r="G7" s="1085"/>
      <c r="H7" s="1085"/>
      <c r="I7" s="1085"/>
      <c r="J7" s="1085"/>
      <c r="K7" s="1085"/>
      <c r="L7" s="1085"/>
      <c r="M7" s="1085"/>
      <c r="N7" s="1085"/>
      <c r="O7" s="1085"/>
      <c r="P7" s="1074">
        <f>IF(原材料!AY65=0,"",原材料!AY65)</f>
        <v>2058963</v>
      </c>
      <c r="Q7" s="1074"/>
      <c r="R7" s="1074"/>
      <c r="S7" s="1074"/>
      <c r="T7" s="1074"/>
      <c r="U7" s="1074"/>
      <c r="V7" s="1074"/>
      <c r="W7" s="1074"/>
      <c r="X7" s="1074"/>
      <c r="Y7" s="1074"/>
      <c r="Z7" s="1074">
        <f>IF(原材料!AS65=0,"",原材料!AS65)</f>
        <v>1871785</v>
      </c>
      <c r="AA7" s="1074"/>
      <c r="AB7" s="1074"/>
      <c r="AC7" s="1074"/>
      <c r="AD7" s="1074"/>
      <c r="AE7" s="1074"/>
      <c r="AF7" s="1074"/>
      <c r="AG7" s="1074"/>
      <c r="AH7" s="1074"/>
      <c r="AI7" s="1071"/>
      <c r="AJ7" s="1074">
        <f>IFERROR(IF(Z7="","",IF(ROUNDDOWN(Z7*$AF$3,-3)&gt;=8000000,8000000,ROUNDDOWN(Z7*$AF$3,-3))),"")</f>
        <v>1247000</v>
      </c>
      <c r="AK7" s="1074"/>
      <c r="AL7" s="1074"/>
      <c r="AM7" s="1074"/>
      <c r="AN7" s="1074"/>
      <c r="AO7" s="1074"/>
      <c r="AP7" s="1074"/>
      <c r="AQ7" s="1074"/>
      <c r="AR7" s="1074"/>
      <c r="AS7" s="1074"/>
    </row>
    <row r="8" spans="1:53">
      <c r="A8" s="1084"/>
      <c r="B8" s="1084"/>
      <c r="C8" s="1085" t="s">
        <v>234</v>
      </c>
      <c r="D8" s="1085"/>
      <c r="E8" s="1085"/>
      <c r="F8" s="1085"/>
      <c r="G8" s="1085"/>
      <c r="H8" s="1085"/>
      <c r="I8" s="1085"/>
      <c r="J8" s="1085"/>
      <c r="K8" s="1085"/>
      <c r="L8" s="1085"/>
      <c r="M8" s="1085"/>
      <c r="N8" s="1085"/>
      <c r="O8" s="1085"/>
      <c r="P8" s="1074">
        <f>IF(機械!AY16=0,"",機械!AY16)</f>
        <v>1298000</v>
      </c>
      <c r="Q8" s="1074"/>
      <c r="R8" s="1074"/>
      <c r="S8" s="1074"/>
      <c r="T8" s="1074"/>
      <c r="U8" s="1074"/>
      <c r="V8" s="1074"/>
      <c r="W8" s="1074"/>
      <c r="X8" s="1074"/>
      <c r="Y8" s="1074"/>
      <c r="Z8" s="1074">
        <f>IF(機械!AS16=0,"",機械!AS16)</f>
        <v>1180000</v>
      </c>
      <c r="AA8" s="1074"/>
      <c r="AB8" s="1074"/>
      <c r="AC8" s="1074"/>
      <c r="AD8" s="1074"/>
      <c r="AE8" s="1074"/>
      <c r="AF8" s="1074"/>
      <c r="AG8" s="1074"/>
      <c r="AH8" s="1074"/>
      <c r="AI8" s="1071"/>
      <c r="AJ8" s="1074">
        <f t="shared" ref="AJ8:AJ15" si="0">IFERROR(IF(Z8="","",IF(ROUNDDOWN(Z8*$AF$3,-3)&gt;=8000000,8000000,ROUNDDOWN(Z8*$AF$3,-3))),"")</f>
        <v>786000</v>
      </c>
      <c r="AK8" s="1074"/>
      <c r="AL8" s="1074"/>
      <c r="AM8" s="1074"/>
      <c r="AN8" s="1074"/>
      <c r="AO8" s="1074"/>
      <c r="AP8" s="1074"/>
      <c r="AQ8" s="1074"/>
      <c r="AR8" s="1074"/>
      <c r="AS8" s="1074"/>
    </row>
    <row r="9" spans="1:53">
      <c r="A9" s="1084"/>
      <c r="B9" s="1084"/>
      <c r="C9" s="1088" t="s">
        <v>235</v>
      </c>
      <c r="D9" s="1088"/>
      <c r="E9" s="1088"/>
      <c r="F9" s="1088"/>
      <c r="G9" s="1088"/>
      <c r="H9" s="1088"/>
      <c r="I9" s="1088"/>
      <c r="J9" s="1088"/>
      <c r="K9" s="1088"/>
      <c r="L9" s="1088"/>
      <c r="M9" s="1088"/>
      <c r="N9" s="1088"/>
      <c r="O9" s="1088"/>
      <c r="P9" s="1074" t="str">
        <f>IF(委託!AY15=0,"",委託!AY15)</f>
        <v/>
      </c>
      <c r="Q9" s="1074"/>
      <c r="R9" s="1074"/>
      <c r="S9" s="1074"/>
      <c r="T9" s="1074"/>
      <c r="U9" s="1074"/>
      <c r="V9" s="1074"/>
      <c r="W9" s="1074"/>
      <c r="X9" s="1074"/>
      <c r="Y9" s="1074"/>
      <c r="Z9" s="1074" t="str">
        <f>IF(委託!AS15=0,"",委託!AS15)</f>
        <v/>
      </c>
      <c r="AA9" s="1074"/>
      <c r="AB9" s="1074"/>
      <c r="AC9" s="1074"/>
      <c r="AD9" s="1074"/>
      <c r="AE9" s="1074"/>
      <c r="AF9" s="1074"/>
      <c r="AG9" s="1074"/>
      <c r="AH9" s="1074"/>
      <c r="AI9" s="1071"/>
      <c r="AJ9" s="1074" t="str">
        <f t="shared" si="0"/>
        <v/>
      </c>
      <c r="AK9" s="1074"/>
      <c r="AL9" s="1074"/>
      <c r="AM9" s="1074"/>
      <c r="AN9" s="1074"/>
      <c r="AO9" s="1074"/>
      <c r="AP9" s="1074"/>
      <c r="AQ9" s="1074"/>
      <c r="AR9" s="1074"/>
      <c r="AS9" s="1074"/>
    </row>
    <row r="10" spans="1:53">
      <c r="A10" s="1084"/>
      <c r="B10" s="1084"/>
      <c r="C10" s="1085" t="s">
        <v>236</v>
      </c>
      <c r="D10" s="1085"/>
      <c r="E10" s="1085"/>
      <c r="F10" s="1085"/>
      <c r="G10" s="1085"/>
      <c r="H10" s="1085"/>
      <c r="I10" s="1085"/>
      <c r="J10" s="1085"/>
      <c r="K10" s="1085"/>
      <c r="L10" s="1085"/>
      <c r="M10" s="1085"/>
      <c r="N10" s="1085"/>
      <c r="O10" s="1085"/>
      <c r="P10" s="1074" t="str">
        <f>IF(財産権!AY15=0,"",財産権!AY15)</f>
        <v/>
      </c>
      <c r="Q10" s="1074"/>
      <c r="R10" s="1074"/>
      <c r="S10" s="1074"/>
      <c r="T10" s="1074"/>
      <c r="U10" s="1074"/>
      <c r="V10" s="1074"/>
      <c r="W10" s="1074"/>
      <c r="X10" s="1074"/>
      <c r="Y10" s="1074"/>
      <c r="Z10" s="1074" t="str">
        <f>IF(財産権!AS15=0,"",財産権!AS15)</f>
        <v/>
      </c>
      <c r="AA10" s="1074"/>
      <c r="AB10" s="1074"/>
      <c r="AC10" s="1074"/>
      <c r="AD10" s="1074"/>
      <c r="AE10" s="1074"/>
      <c r="AF10" s="1074"/>
      <c r="AG10" s="1074"/>
      <c r="AH10" s="1074"/>
      <c r="AI10" s="1071"/>
      <c r="AJ10" s="1074" t="str">
        <f t="shared" si="0"/>
        <v/>
      </c>
      <c r="AK10" s="1074"/>
      <c r="AL10" s="1074"/>
      <c r="AM10" s="1074"/>
      <c r="AN10" s="1074"/>
      <c r="AO10" s="1074"/>
      <c r="AP10" s="1074"/>
      <c r="AQ10" s="1074"/>
      <c r="AR10" s="1074"/>
      <c r="AS10" s="1074"/>
    </row>
    <row r="11" spans="1:53">
      <c r="A11" s="1084"/>
      <c r="B11" s="1084"/>
      <c r="C11" s="1085" t="s">
        <v>237</v>
      </c>
      <c r="D11" s="1085"/>
      <c r="E11" s="1085"/>
      <c r="F11" s="1085"/>
      <c r="G11" s="1085"/>
      <c r="H11" s="1085"/>
      <c r="I11" s="1085"/>
      <c r="J11" s="1085"/>
      <c r="K11" s="1085"/>
      <c r="L11" s="1085"/>
      <c r="M11" s="1085"/>
      <c r="N11" s="1085"/>
      <c r="O11" s="1085"/>
      <c r="P11" s="1074" t="str">
        <f>IF(規格!AY15=0,"",規格!AY15)</f>
        <v/>
      </c>
      <c r="Q11" s="1074"/>
      <c r="R11" s="1074"/>
      <c r="S11" s="1074"/>
      <c r="T11" s="1074"/>
      <c r="U11" s="1074"/>
      <c r="V11" s="1074"/>
      <c r="W11" s="1074"/>
      <c r="X11" s="1074"/>
      <c r="Y11" s="1074"/>
      <c r="Z11" s="1074" t="str">
        <f>IF(規格!AS15=0,"",規格!AS15)</f>
        <v/>
      </c>
      <c r="AA11" s="1074"/>
      <c r="AB11" s="1074"/>
      <c r="AC11" s="1074"/>
      <c r="AD11" s="1074"/>
      <c r="AE11" s="1074"/>
      <c r="AF11" s="1074"/>
      <c r="AG11" s="1074"/>
      <c r="AH11" s="1074"/>
      <c r="AI11" s="1071"/>
      <c r="AJ11" s="1074" t="str">
        <f t="shared" si="0"/>
        <v/>
      </c>
      <c r="AK11" s="1074"/>
      <c r="AL11" s="1074"/>
      <c r="AM11" s="1074"/>
      <c r="AN11" s="1074"/>
      <c r="AO11" s="1074"/>
      <c r="AP11" s="1074"/>
      <c r="AQ11" s="1074"/>
      <c r="AR11" s="1074"/>
      <c r="AS11" s="1074"/>
    </row>
    <row r="12" spans="1:53">
      <c r="A12" s="1084"/>
      <c r="B12" s="1084"/>
      <c r="C12" s="1085" t="s">
        <v>238</v>
      </c>
      <c r="D12" s="1085"/>
      <c r="E12" s="1085"/>
      <c r="F12" s="1085"/>
      <c r="G12" s="1085"/>
      <c r="H12" s="1085"/>
      <c r="I12" s="1085"/>
      <c r="J12" s="1085"/>
      <c r="K12" s="1085"/>
      <c r="L12" s="1085"/>
      <c r="M12" s="1085"/>
      <c r="N12" s="1085"/>
      <c r="O12" s="1085"/>
      <c r="P12" s="1074">
        <f>IF(設備!AY20=0,"",設備!AY20)</f>
        <v>2015200</v>
      </c>
      <c r="Q12" s="1074"/>
      <c r="R12" s="1074"/>
      <c r="S12" s="1074"/>
      <c r="T12" s="1074"/>
      <c r="U12" s="1074"/>
      <c r="V12" s="1074"/>
      <c r="W12" s="1074"/>
      <c r="X12" s="1074"/>
      <c r="Y12" s="1074"/>
      <c r="Z12" s="1074">
        <f>IF(設備!AS20=0,"",設備!AS20)</f>
        <v>1832000</v>
      </c>
      <c r="AA12" s="1074"/>
      <c r="AB12" s="1074"/>
      <c r="AC12" s="1074"/>
      <c r="AD12" s="1074"/>
      <c r="AE12" s="1074"/>
      <c r="AF12" s="1074"/>
      <c r="AG12" s="1074"/>
      <c r="AH12" s="1074"/>
      <c r="AI12" s="1071"/>
      <c r="AJ12" s="1074">
        <f t="shared" si="0"/>
        <v>1221000</v>
      </c>
      <c r="AK12" s="1074"/>
      <c r="AL12" s="1074"/>
      <c r="AM12" s="1074"/>
      <c r="AN12" s="1074"/>
      <c r="AO12" s="1074"/>
      <c r="AP12" s="1074"/>
      <c r="AQ12" s="1074"/>
      <c r="AR12" s="1074"/>
      <c r="AS12" s="1074"/>
    </row>
    <row r="13" spans="1:53">
      <c r="A13" s="1084"/>
      <c r="B13" s="1084"/>
      <c r="C13" s="1085" t="s">
        <v>239</v>
      </c>
      <c r="D13" s="1085"/>
      <c r="E13" s="1085"/>
      <c r="F13" s="1085"/>
      <c r="G13" s="1085"/>
      <c r="H13" s="1085"/>
      <c r="I13" s="1085"/>
      <c r="J13" s="1085"/>
      <c r="K13" s="1085"/>
      <c r="L13" s="1085"/>
      <c r="M13" s="1085"/>
      <c r="N13" s="1085"/>
      <c r="O13" s="1085"/>
      <c r="P13" s="1074" t="str">
        <f>IF(システム!AY21=0,"",システム!AY21)</f>
        <v/>
      </c>
      <c r="Q13" s="1074"/>
      <c r="R13" s="1074"/>
      <c r="S13" s="1074"/>
      <c r="T13" s="1074"/>
      <c r="U13" s="1074"/>
      <c r="V13" s="1074"/>
      <c r="W13" s="1074"/>
      <c r="X13" s="1074"/>
      <c r="Y13" s="1074"/>
      <c r="Z13" s="1074" t="str">
        <f>IF(システム!AS21=0,"",システム!AS21)</f>
        <v/>
      </c>
      <c r="AA13" s="1074"/>
      <c r="AB13" s="1074"/>
      <c r="AC13" s="1074"/>
      <c r="AD13" s="1074"/>
      <c r="AE13" s="1074"/>
      <c r="AF13" s="1074"/>
      <c r="AG13" s="1074"/>
      <c r="AH13" s="1074"/>
      <c r="AI13" s="1071"/>
      <c r="AJ13" s="1074" t="str">
        <f t="shared" si="0"/>
        <v/>
      </c>
      <c r="AK13" s="1074"/>
      <c r="AL13" s="1074"/>
      <c r="AM13" s="1074"/>
      <c r="AN13" s="1074"/>
      <c r="AO13" s="1074"/>
      <c r="AP13" s="1074"/>
      <c r="AQ13" s="1074"/>
      <c r="AR13" s="1074"/>
      <c r="AS13" s="1074"/>
    </row>
    <row r="14" spans="1:53">
      <c r="A14" s="1084"/>
      <c r="B14" s="1084"/>
      <c r="C14" s="1085" t="s">
        <v>240</v>
      </c>
      <c r="D14" s="1085"/>
      <c r="E14" s="1085"/>
      <c r="F14" s="1085"/>
      <c r="G14" s="1085"/>
      <c r="H14" s="1085"/>
      <c r="I14" s="1085"/>
      <c r="J14" s="1085"/>
      <c r="K14" s="1085"/>
      <c r="L14" s="1085"/>
      <c r="M14" s="1085"/>
      <c r="N14" s="1085"/>
      <c r="O14" s="1085"/>
      <c r="P14" s="1074">
        <f>IF(専門!AY15=0,"",専門!AY15)</f>
        <v>1650000</v>
      </c>
      <c r="Q14" s="1074"/>
      <c r="R14" s="1074"/>
      <c r="S14" s="1074"/>
      <c r="T14" s="1074"/>
      <c r="U14" s="1074"/>
      <c r="V14" s="1074"/>
      <c r="W14" s="1074"/>
      <c r="X14" s="1074"/>
      <c r="Y14" s="1074"/>
      <c r="Z14" s="1074">
        <f>IF(専門!AS15=0,"",専門!AS15)</f>
        <v>1500000</v>
      </c>
      <c r="AA14" s="1074"/>
      <c r="AB14" s="1074"/>
      <c r="AC14" s="1074"/>
      <c r="AD14" s="1074"/>
      <c r="AE14" s="1074"/>
      <c r="AF14" s="1074"/>
      <c r="AG14" s="1074"/>
      <c r="AH14" s="1074"/>
      <c r="AI14" s="1071"/>
      <c r="AJ14" s="1074">
        <f t="shared" si="0"/>
        <v>1000000</v>
      </c>
      <c r="AK14" s="1074"/>
      <c r="AL14" s="1074"/>
      <c r="AM14" s="1074"/>
      <c r="AN14" s="1074"/>
      <c r="AO14" s="1074"/>
      <c r="AP14" s="1074"/>
      <c r="AQ14" s="1074"/>
      <c r="AR14" s="1074"/>
      <c r="AS14" s="1074"/>
    </row>
    <row r="15" spans="1:53">
      <c r="A15" s="1084"/>
      <c r="B15" s="1084"/>
      <c r="C15" s="1085" t="s">
        <v>241</v>
      </c>
      <c r="D15" s="1085"/>
      <c r="E15" s="1085"/>
      <c r="F15" s="1085"/>
      <c r="G15" s="1085"/>
      <c r="H15" s="1085"/>
      <c r="I15" s="1085"/>
      <c r="J15" s="1085"/>
      <c r="K15" s="1085"/>
      <c r="L15" s="1085"/>
      <c r="M15" s="1085"/>
      <c r="N15" s="1085"/>
      <c r="O15" s="1085"/>
      <c r="P15" s="1074">
        <f>IF(賃借!AY15=0,"",賃借!AY15)</f>
        <v>4197600</v>
      </c>
      <c r="Q15" s="1074"/>
      <c r="R15" s="1074"/>
      <c r="S15" s="1074"/>
      <c r="T15" s="1074"/>
      <c r="U15" s="1074"/>
      <c r="V15" s="1074"/>
      <c r="W15" s="1074"/>
      <c r="X15" s="1074"/>
      <c r="Y15" s="1074"/>
      <c r="Z15" s="1074">
        <f>IF(賃借!AS15=0,"",賃借!AS15)</f>
        <v>3816000</v>
      </c>
      <c r="AA15" s="1074"/>
      <c r="AB15" s="1074"/>
      <c r="AC15" s="1074"/>
      <c r="AD15" s="1074"/>
      <c r="AE15" s="1074"/>
      <c r="AF15" s="1074"/>
      <c r="AG15" s="1074"/>
      <c r="AH15" s="1074"/>
      <c r="AI15" s="1071"/>
      <c r="AJ15" s="1074">
        <f t="shared" si="0"/>
        <v>2544000</v>
      </c>
      <c r="AK15" s="1074"/>
      <c r="AL15" s="1074"/>
      <c r="AM15" s="1074"/>
      <c r="AN15" s="1074"/>
      <c r="AO15" s="1074"/>
      <c r="AP15" s="1074"/>
      <c r="AQ15" s="1074"/>
      <c r="AR15" s="1074"/>
      <c r="AS15" s="1074"/>
    </row>
    <row r="16" spans="1:53">
      <c r="A16" s="1084"/>
      <c r="B16" s="1084"/>
      <c r="C16" s="1068" t="s">
        <v>242</v>
      </c>
      <c r="D16" s="1069"/>
      <c r="E16" s="1069"/>
      <c r="F16" s="1069"/>
      <c r="G16" s="1069"/>
      <c r="H16" s="1069"/>
      <c r="I16" s="1069"/>
      <c r="J16" s="1069"/>
      <c r="K16" s="1069"/>
      <c r="L16" s="1069"/>
      <c r="M16" s="1069"/>
      <c r="N16" s="1069"/>
      <c r="O16" s="1070"/>
      <c r="P16" s="1071">
        <f>IF(販売!AY20=0,"",販売!AY20)</f>
        <v>352000</v>
      </c>
      <c r="Q16" s="1072"/>
      <c r="R16" s="1072"/>
      <c r="S16" s="1072"/>
      <c r="T16" s="1072"/>
      <c r="U16" s="1072"/>
      <c r="V16" s="1072"/>
      <c r="W16" s="1072"/>
      <c r="X16" s="1072"/>
      <c r="Y16" s="1073"/>
      <c r="Z16" s="1071">
        <f>IF(販売!AS20=0,"",販売!AS20)</f>
        <v>320000</v>
      </c>
      <c r="AA16" s="1072"/>
      <c r="AB16" s="1072"/>
      <c r="AC16" s="1072"/>
      <c r="AD16" s="1072"/>
      <c r="AE16" s="1072"/>
      <c r="AF16" s="1072"/>
      <c r="AG16" s="1072"/>
      <c r="AH16" s="1072"/>
      <c r="AI16" s="1072"/>
      <c r="AJ16" s="1074">
        <f>IFERROR(IF(Z16="","",IF(ROUNDDOWN(Z16*$AF$3,-3)&gt;=2000000,2000000,ROUNDDOWN(Z16*$AF$3,-3))),"")</f>
        <v>213000</v>
      </c>
      <c r="AK16" s="1074"/>
      <c r="AL16" s="1074"/>
      <c r="AM16" s="1074"/>
      <c r="AN16" s="1074"/>
      <c r="AO16" s="1074"/>
      <c r="AP16" s="1074"/>
      <c r="AQ16" s="1074"/>
      <c r="AR16" s="1074"/>
      <c r="AS16" s="1074"/>
    </row>
    <row r="17" spans="1:53">
      <c r="A17" s="1084"/>
      <c r="B17" s="1084"/>
      <c r="C17" s="1068" t="s">
        <v>243</v>
      </c>
      <c r="D17" s="1069"/>
      <c r="E17" s="1069"/>
      <c r="F17" s="1069"/>
      <c r="G17" s="1069"/>
      <c r="H17" s="1069"/>
      <c r="I17" s="1069"/>
      <c r="J17" s="1069"/>
      <c r="K17" s="1069"/>
      <c r="L17" s="1069"/>
      <c r="M17" s="1069"/>
      <c r="N17" s="1069"/>
      <c r="O17" s="1070"/>
      <c r="P17" s="1074" t="str">
        <f>IF(他!AY20=0,"",他!AY20)</f>
        <v/>
      </c>
      <c r="Q17" s="1074"/>
      <c r="R17" s="1074"/>
      <c r="S17" s="1074"/>
      <c r="T17" s="1074"/>
      <c r="U17" s="1074"/>
      <c r="V17" s="1074"/>
      <c r="W17" s="1074"/>
      <c r="X17" s="1074"/>
      <c r="Y17" s="1074"/>
      <c r="Z17" s="1074" t="str">
        <f>IF(他!AS20=0,"",他!AS20)</f>
        <v/>
      </c>
      <c r="AA17" s="1074"/>
      <c r="AB17" s="1074"/>
      <c r="AC17" s="1074"/>
      <c r="AD17" s="1074"/>
      <c r="AE17" s="1074"/>
      <c r="AF17" s="1074"/>
      <c r="AG17" s="1074"/>
      <c r="AH17" s="1074"/>
      <c r="AI17" s="1071"/>
      <c r="AJ17" s="1074" t="str">
        <f>IFERROR(IF(Z17="","",IF(ROUNDDOWN(Z17*$AF$3,-3)&gt;=1000000,1000000,ROUNDDOWN(Z17*$AF$3,-3))),"")</f>
        <v/>
      </c>
      <c r="AK17" s="1074"/>
      <c r="AL17" s="1074"/>
      <c r="AM17" s="1074"/>
      <c r="AN17" s="1074"/>
      <c r="AO17" s="1074"/>
      <c r="AP17" s="1074"/>
      <c r="AQ17" s="1074"/>
      <c r="AR17" s="1074"/>
      <c r="AS17" s="1074"/>
    </row>
    <row r="18" spans="1:53" ht="19" thickBot="1">
      <c r="A18" s="1084"/>
      <c r="B18" s="1084"/>
      <c r="C18" s="1068" t="s">
        <v>244</v>
      </c>
      <c r="D18" s="1069"/>
      <c r="E18" s="1069"/>
      <c r="F18" s="1069"/>
      <c r="G18" s="1069"/>
      <c r="H18" s="1069"/>
      <c r="I18" s="1069"/>
      <c r="J18" s="1069"/>
      <c r="K18" s="1069"/>
      <c r="L18" s="1069"/>
      <c r="M18" s="1069"/>
      <c r="N18" s="1069"/>
      <c r="O18" s="1070"/>
      <c r="P18" s="1076"/>
      <c r="Q18" s="1076"/>
      <c r="R18" s="1076"/>
      <c r="S18" s="1076"/>
      <c r="T18" s="1076"/>
      <c r="U18" s="1076"/>
      <c r="V18" s="1076"/>
      <c r="W18" s="1076"/>
      <c r="X18" s="1076"/>
      <c r="Y18" s="1076"/>
      <c r="Z18" s="1077"/>
      <c r="AA18" s="1077"/>
      <c r="AB18" s="1077"/>
      <c r="AC18" s="1077"/>
      <c r="AD18" s="1077"/>
      <c r="AE18" s="1077"/>
      <c r="AF18" s="1077"/>
      <c r="AG18" s="1077"/>
      <c r="AH18" s="1077"/>
      <c r="AI18" s="1077"/>
      <c r="AJ18" s="1078"/>
      <c r="AK18" s="1078"/>
      <c r="AL18" s="1078"/>
      <c r="AM18" s="1078"/>
      <c r="AN18" s="1078"/>
      <c r="AO18" s="1078"/>
      <c r="AP18" s="1078"/>
      <c r="AQ18" s="1078"/>
      <c r="AR18" s="1078"/>
      <c r="AS18" s="1078"/>
    </row>
    <row r="19" spans="1:53" ht="19" thickBot="1">
      <c r="A19" s="1084"/>
      <c r="B19" s="1084"/>
      <c r="C19" s="1087" t="s">
        <v>139</v>
      </c>
      <c r="D19" s="1087"/>
      <c r="E19" s="1087"/>
      <c r="F19" s="1087"/>
      <c r="G19" s="1087"/>
      <c r="H19" s="1087"/>
      <c r="I19" s="1087"/>
      <c r="J19" s="1087"/>
      <c r="K19" s="1087"/>
      <c r="L19" s="1087"/>
      <c r="M19" s="1087"/>
      <c r="N19" s="1087"/>
      <c r="O19" s="1087"/>
      <c r="P19" s="1054">
        <f>SUM(P7:Y18)</f>
        <v>11571763</v>
      </c>
      <c r="Q19" s="1054"/>
      <c r="R19" s="1054"/>
      <c r="S19" s="1054"/>
      <c r="T19" s="1054"/>
      <c r="U19" s="1054"/>
      <c r="V19" s="1054"/>
      <c r="W19" s="1054"/>
      <c r="X19" s="1054"/>
      <c r="Y19" s="1054"/>
      <c r="Z19" s="1074">
        <f>SUM(Z7:AI17)</f>
        <v>10519785</v>
      </c>
      <c r="AA19" s="1074"/>
      <c r="AB19" s="1074"/>
      <c r="AC19" s="1074"/>
      <c r="AD19" s="1074"/>
      <c r="AE19" s="1074"/>
      <c r="AF19" s="1074"/>
      <c r="AG19" s="1074"/>
      <c r="AH19" s="1074"/>
      <c r="AI19" s="1071"/>
      <c r="AJ19" s="1079">
        <f>IF(SUM(AJ7:AS17)&lt;=8000000,SUM(AJ7:AS17),8000000)</f>
        <v>7011000</v>
      </c>
      <c r="AK19" s="1080"/>
      <c r="AL19" s="1080"/>
      <c r="AM19" s="1080"/>
      <c r="AN19" s="1080"/>
      <c r="AO19" s="1080"/>
      <c r="AP19" s="1080"/>
      <c r="AQ19" s="1080"/>
      <c r="AR19" s="1080"/>
      <c r="AS19" s="1081"/>
    </row>
    <row r="20" spans="1:53" s="71" customFormat="1">
      <c r="A20" s="69"/>
      <c r="B20" s="69"/>
      <c r="C20" s="69"/>
      <c r="D20" s="77"/>
      <c r="E20" s="69"/>
      <c r="F20" s="69"/>
      <c r="G20" s="69"/>
      <c r="H20" s="69"/>
      <c r="I20" s="69"/>
      <c r="J20" s="69"/>
      <c r="K20" s="69"/>
      <c r="L20" s="69"/>
      <c r="M20" s="69"/>
      <c r="N20" s="69"/>
      <c r="O20" s="69"/>
      <c r="P20" s="78"/>
      <c r="Q20" s="78"/>
      <c r="R20" s="78"/>
      <c r="S20" s="78"/>
      <c r="T20" s="78"/>
      <c r="U20" s="78"/>
      <c r="V20" s="78"/>
      <c r="W20" s="78"/>
      <c r="X20" s="79"/>
      <c r="Y20" s="79"/>
      <c r="Z20" s="69"/>
      <c r="AA20" s="69"/>
      <c r="AB20" s="69"/>
      <c r="AC20" s="69"/>
      <c r="AD20" s="69"/>
      <c r="AE20" s="69"/>
      <c r="AF20" s="69"/>
      <c r="AG20" s="69"/>
      <c r="AH20" s="69"/>
      <c r="AI20" s="69"/>
      <c r="AJ20" s="81"/>
      <c r="AK20" s="81"/>
      <c r="AL20" s="81"/>
      <c r="AM20" s="81"/>
      <c r="AN20" s="81"/>
      <c r="AO20" s="81"/>
      <c r="AP20" s="81"/>
      <c r="AQ20" s="69"/>
      <c r="AR20" s="69"/>
      <c r="AS20" s="69"/>
      <c r="BA20" s="236"/>
    </row>
    <row r="21" spans="1:53" s="71" customFormat="1">
      <c r="A21" s="69"/>
      <c r="B21" s="69"/>
      <c r="C21" s="69"/>
      <c r="D21" s="77"/>
      <c r="E21" s="69"/>
      <c r="F21" s="69"/>
      <c r="G21" s="69"/>
      <c r="H21" s="69"/>
      <c r="I21" s="69"/>
      <c r="J21" s="69"/>
      <c r="K21" s="69"/>
      <c r="L21" s="69"/>
      <c r="M21" s="69"/>
      <c r="N21" s="69"/>
      <c r="O21" s="69"/>
      <c r="P21" s="69"/>
      <c r="Q21" s="69"/>
      <c r="R21" s="69"/>
      <c r="S21" s="69"/>
      <c r="T21" s="69"/>
      <c r="U21" s="69"/>
      <c r="V21" s="69"/>
      <c r="W21" s="69"/>
      <c r="X21" s="80"/>
      <c r="Y21" s="80"/>
      <c r="Z21" s="80"/>
      <c r="AA21" s="80"/>
      <c r="AB21" s="80"/>
      <c r="AC21" s="80"/>
      <c r="AD21" s="80"/>
      <c r="AE21" s="80"/>
      <c r="AF21" s="80"/>
      <c r="AG21" s="69"/>
      <c r="AH21" s="69"/>
      <c r="AI21" s="69"/>
      <c r="AJ21" s="81"/>
      <c r="AK21" s="81"/>
      <c r="AL21" s="81"/>
      <c r="AM21" s="81"/>
      <c r="AN21" s="81"/>
      <c r="AO21" s="81"/>
      <c r="AP21" s="81"/>
      <c r="AQ21" s="69"/>
      <c r="AR21" s="69"/>
      <c r="AS21" s="69"/>
      <c r="BA21" s="236"/>
    </row>
    <row r="22" spans="1:53" s="71" customFormat="1">
      <c r="A22" s="69" t="s">
        <v>245</v>
      </c>
      <c r="B22" s="69"/>
      <c r="C22" s="69"/>
      <c r="D22" s="77"/>
      <c r="E22" s="69"/>
      <c r="F22" s="69"/>
      <c r="G22" s="69"/>
      <c r="H22" s="69"/>
      <c r="I22" s="69"/>
      <c r="J22" s="69"/>
      <c r="K22" s="69"/>
      <c r="L22" s="69"/>
      <c r="M22" s="69"/>
      <c r="N22" s="69"/>
      <c r="O22" s="69"/>
      <c r="P22" s="69"/>
      <c r="Q22" s="69"/>
      <c r="R22" s="69"/>
      <c r="S22" s="69"/>
      <c r="T22" s="69"/>
      <c r="U22" s="69"/>
      <c r="V22" s="69"/>
      <c r="W22" s="69"/>
      <c r="X22" s="82"/>
      <c r="Y22" s="82"/>
      <c r="Z22" s="69"/>
      <c r="AA22" s="69"/>
      <c r="AB22" s="69"/>
      <c r="AC22" s="69"/>
      <c r="AD22" s="69"/>
      <c r="AE22" s="69"/>
      <c r="AF22" s="69"/>
      <c r="AG22" s="69"/>
      <c r="AH22" s="69"/>
      <c r="AI22" s="69"/>
      <c r="AJ22" s="69"/>
      <c r="AK22" s="69"/>
      <c r="AL22" s="69"/>
      <c r="AM22" s="1082" t="s">
        <v>140</v>
      </c>
      <c r="AN22" s="1082"/>
      <c r="AO22" s="1082"/>
      <c r="AP22" s="1082"/>
      <c r="AQ22" s="1082"/>
      <c r="AR22" s="1082"/>
      <c r="AS22" s="1082"/>
      <c r="BA22" s="236"/>
    </row>
    <row r="23" spans="1:53">
      <c r="A23" s="1050" t="s">
        <v>141</v>
      </c>
      <c r="B23" s="1050"/>
      <c r="C23" s="1050"/>
      <c r="D23" s="1050"/>
      <c r="E23" s="1050"/>
      <c r="F23" s="1050"/>
      <c r="G23" s="1050"/>
      <c r="H23" s="1050"/>
      <c r="I23" s="1050"/>
      <c r="J23" s="1050"/>
      <c r="K23" s="1050"/>
      <c r="L23" s="1050"/>
      <c r="M23" s="1050" t="s">
        <v>142</v>
      </c>
      <c r="N23" s="1050"/>
      <c r="O23" s="1050"/>
      <c r="P23" s="1050"/>
      <c r="Q23" s="1050"/>
      <c r="R23" s="1050"/>
      <c r="S23" s="1050"/>
      <c r="T23" s="1050"/>
      <c r="U23" s="1050"/>
      <c r="V23" s="1050"/>
      <c r="W23" s="1050"/>
      <c r="X23" s="1083" t="s">
        <v>143</v>
      </c>
      <c r="Y23" s="1083"/>
      <c r="Z23" s="1083"/>
      <c r="AA23" s="1083"/>
      <c r="AB23" s="1083"/>
      <c r="AC23" s="1083"/>
      <c r="AD23" s="1083"/>
      <c r="AE23" s="1083"/>
      <c r="AF23" s="1083"/>
      <c r="AG23" s="1083"/>
      <c r="AH23" s="1083"/>
      <c r="AI23" s="1083"/>
      <c r="AJ23" s="1083"/>
      <c r="AK23" s="1050" t="s">
        <v>144</v>
      </c>
      <c r="AL23" s="1050"/>
      <c r="AM23" s="1050"/>
      <c r="AN23" s="1050"/>
      <c r="AO23" s="1050"/>
      <c r="AP23" s="1050"/>
      <c r="AQ23" s="1050"/>
      <c r="AR23" s="1050"/>
      <c r="AS23" s="1050"/>
    </row>
    <row r="24" spans="1:53" ht="23">
      <c r="A24" s="1084" t="s">
        <v>145</v>
      </c>
      <c r="B24" s="1084"/>
      <c r="C24" s="1050" t="s">
        <v>146</v>
      </c>
      <c r="D24" s="1050"/>
      <c r="E24" s="1050"/>
      <c r="F24" s="1050"/>
      <c r="G24" s="1050"/>
      <c r="H24" s="1050"/>
      <c r="I24" s="1050"/>
      <c r="J24" s="1050"/>
      <c r="K24" s="1050"/>
      <c r="L24" s="1050"/>
      <c r="M24" s="1049"/>
      <c r="N24" s="1049"/>
      <c r="O24" s="1049"/>
      <c r="P24" s="1049"/>
      <c r="Q24" s="1049"/>
      <c r="R24" s="1049"/>
      <c r="S24" s="1049"/>
      <c r="T24" s="1049"/>
      <c r="U24" s="1049"/>
      <c r="V24" s="1049"/>
      <c r="W24" s="1049"/>
      <c r="X24" s="1086"/>
      <c r="Y24" s="1086"/>
      <c r="Z24" s="1086"/>
      <c r="AA24" s="1086"/>
      <c r="AB24" s="1086"/>
      <c r="AC24" s="1086"/>
      <c r="AD24" s="1086"/>
      <c r="AE24" s="1086"/>
      <c r="AF24" s="1086"/>
      <c r="AG24" s="1086"/>
      <c r="AH24" s="1086"/>
      <c r="AI24" s="1086"/>
      <c r="AJ24" s="1086"/>
      <c r="AK24" s="1052" t="s">
        <v>202</v>
      </c>
      <c r="AL24" s="1052"/>
      <c r="AM24" s="1052"/>
      <c r="AN24" s="1052"/>
      <c r="AO24" s="1052"/>
      <c r="AP24" s="1052"/>
      <c r="AQ24" s="1052"/>
      <c r="AR24" s="1052"/>
      <c r="AS24" s="1052"/>
    </row>
    <row r="25" spans="1:53">
      <c r="A25" s="1084"/>
      <c r="B25" s="1084"/>
      <c r="C25" s="1050" t="s">
        <v>147</v>
      </c>
      <c r="D25" s="1050"/>
      <c r="E25" s="1050"/>
      <c r="F25" s="1050"/>
      <c r="G25" s="1050"/>
      <c r="H25" s="1050"/>
      <c r="I25" s="1050"/>
      <c r="J25" s="1050"/>
      <c r="K25" s="1050"/>
      <c r="L25" s="1050"/>
      <c r="M25" s="1049">
        <v>15000000</v>
      </c>
      <c r="N25" s="1049"/>
      <c r="O25" s="1049"/>
      <c r="P25" s="1049"/>
      <c r="Q25" s="1049"/>
      <c r="R25" s="1049"/>
      <c r="S25" s="1049"/>
      <c r="T25" s="1049"/>
      <c r="U25" s="1049"/>
      <c r="V25" s="1049"/>
      <c r="W25" s="1049"/>
      <c r="X25" s="1051" t="s">
        <v>775</v>
      </c>
      <c r="Y25" s="1051"/>
      <c r="Z25" s="1051"/>
      <c r="AA25" s="1051"/>
      <c r="AB25" s="1051"/>
      <c r="AC25" s="1051"/>
      <c r="AD25" s="1051"/>
      <c r="AE25" s="1051"/>
      <c r="AF25" s="1051"/>
      <c r="AG25" s="1051"/>
      <c r="AH25" s="1051"/>
      <c r="AI25" s="1051"/>
      <c r="AJ25" s="1051"/>
      <c r="AK25" s="1052" t="s">
        <v>774</v>
      </c>
      <c r="AL25" s="1052"/>
      <c r="AM25" s="1052"/>
      <c r="AN25" s="1052"/>
      <c r="AO25" s="1052"/>
      <c r="AP25" s="1052"/>
      <c r="AQ25" s="1052"/>
      <c r="AR25" s="1052"/>
      <c r="AS25" s="1052"/>
    </row>
    <row r="26" spans="1:53">
      <c r="A26" s="1084"/>
      <c r="B26" s="1084"/>
      <c r="C26" s="1050" t="s">
        <v>148</v>
      </c>
      <c r="D26" s="1050"/>
      <c r="E26" s="1050"/>
      <c r="F26" s="1050"/>
      <c r="G26" s="1050"/>
      <c r="H26" s="1050"/>
      <c r="I26" s="1050"/>
      <c r="J26" s="1050"/>
      <c r="K26" s="1050"/>
      <c r="L26" s="1050"/>
      <c r="M26" s="1049">
        <v>2000000</v>
      </c>
      <c r="N26" s="1049"/>
      <c r="O26" s="1049"/>
      <c r="P26" s="1049"/>
      <c r="Q26" s="1049"/>
      <c r="R26" s="1049"/>
      <c r="S26" s="1049"/>
      <c r="T26" s="1049"/>
      <c r="U26" s="1049"/>
      <c r="V26" s="1049"/>
      <c r="W26" s="1049"/>
      <c r="X26" s="1051" t="s">
        <v>776</v>
      </c>
      <c r="Y26" s="1051"/>
      <c r="Z26" s="1051"/>
      <c r="AA26" s="1051"/>
      <c r="AB26" s="1051"/>
      <c r="AC26" s="1051"/>
      <c r="AD26" s="1051"/>
      <c r="AE26" s="1051"/>
      <c r="AF26" s="1051"/>
      <c r="AG26" s="1051"/>
      <c r="AH26" s="1051"/>
      <c r="AI26" s="1051"/>
      <c r="AJ26" s="1051"/>
      <c r="AK26" s="1052" t="s">
        <v>777</v>
      </c>
      <c r="AL26" s="1052"/>
      <c r="AM26" s="1052"/>
      <c r="AN26" s="1052"/>
      <c r="AO26" s="1052"/>
      <c r="AP26" s="1052"/>
      <c r="AQ26" s="1052"/>
      <c r="AR26" s="1052"/>
      <c r="AS26" s="1052"/>
    </row>
    <row r="27" spans="1:53">
      <c r="A27" s="1084"/>
      <c r="B27" s="1084"/>
      <c r="C27" s="1056" t="s">
        <v>149</v>
      </c>
      <c r="D27" s="1056"/>
      <c r="E27" s="1057"/>
      <c r="F27" s="1057"/>
      <c r="G27" s="1057"/>
      <c r="H27" s="1057"/>
      <c r="I27" s="1057"/>
      <c r="J27" s="1057"/>
      <c r="K27" s="1057"/>
      <c r="L27" s="1057"/>
      <c r="M27" s="1049"/>
      <c r="N27" s="1049"/>
      <c r="O27" s="1049"/>
      <c r="P27" s="1049"/>
      <c r="Q27" s="1049"/>
      <c r="R27" s="1049"/>
      <c r="S27" s="1049"/>
      <c r="T27" s="1049"/>
      <c r="U27" s="1049"/>
      <c r="V27" s="1049"/>
      <c r="W27" s="1049"/>
      <c r="X27" s="1051"/>
      <c r="Y27" s="1051"/>
      <c r="Z27" s="1051"/>
      <c r="AA27" s="1051"/>
      <c r="AB27" s="1051"/>
      <c r="AC27" s="1051"/>
      <c r="AD27" s="1051"/>
      <c r="AE27" s="1051"/>
      <c r="AF27" s="1051"/>
      <c r="AG27" s="1051"/>
      <c r="AH27" s="1051"/>
      <c r="AI27" s="1051"/>
      <c r="AJ27" s="1051"/>
      <c r="AK27" s="1052" t="s">
        <v>202</v>
      </c>
      <c r="AL27" s="1052"/>
      <c r="AM27" s="1052"/>
      <c r="AN27" s="1052"/>
      <c r="AO27" s="1052"/>
      <c r="AP27" s="1052"/>
      <c r="AQ27" s="1052"/>
      <c r="AR27" s="1052"/>
      <c r="AS27" s="1052"/>
    </row>
    <row r="28" spans="1:53">
      <c r="A28" s="1084"/>
      <c r="B28" s="1084"/>
      <c r="C28" s="1056"/>
      <c r="D28" s="1056"/>
      <c r="E28" s="1057"/>
      <c r="F28" s="1057"/>
      <c r="G28" s="1057"/>
      <c r="H28" s="1057"/>
      <c r="I28" s="1057"/>
      <c r="J28" s="1057"/>
      <c r="K28" s="1057"/>
      <c r="L28" s="1057"/>
      <c r="M28" s="1049"/>
      <c r="N28" s="1049"/>
      <c r="O28" s="1049"/>
      <c r="P28" s="1049"/>
      <c r="Q28" s="1049"/>
      <c r="R28" s="1049"/>
      <c r="S28" s="1049"/>
      <c r="T28" s="1049"/>
      <c r="U28" s="1049"/>
      <c r="V28" s="1049"/>
      <c r="W28" s="1049"/>
      <c r="X28" s="1051"/>
      <c r="Y28" s="1051"/>
      <c r="Z28" s="1051"/>
      <c r="AA28" s="1051"/>
      <c r="AB28" s="1051"/>
      <c r="AC28" s="1051"/>
      <c r="AD28" s="1051"/>
      <c r="AE28" s="1051"/>
      <c r="AF28" s="1051"/>
      <c r="AG28" s="1051"/>
      <c r="AH28" s="1051"/>
      <c r="AI28" s="1051"/>
      <c r="AJ28" s="1051"/>
      <c r="AK28" s="1052" t="s">
        <v>202</v>
      </c>
      <c r="AL28" s="1052"/>
      <c r="AM28" s="1052"/>
      <c r="AN28" s="1052"/>
      <c r="AO28" s="1052"/>
      <c r="AP28" s="1052"/>
      <c r="AQ28" s="1052"/>
      <c r="AR28" s="1052"/>
      <c r="AS28" s="1052"/>
    </row>
    <row r="29" spans="1:53" ht="23">
      <c r="A29" s="1084"/>
      <c r="B29" s="1084"/>
      <c r="C29" s="1053" t="s">
        <v>156</v>
      </c>
      <c r="D29" s="1053"/>
      <c r="E29" s="1053"/>
      <c r="F29" s="1053"/>
      <c r="G29" s="1053"/>
      <c r="H29" s="1053"/>
      <c r="I29" s="1053"/>
      <c r="J29" s="1053"/>
      <c r="K29" s="1053"/>
      <c r="L29" s="1053"/>
      <c r="M29" s="1054">
        <f>SUM(M24:W28)</f>
        <v>17000000</v>
      </c>
      <c r="N29" s="1054"/>
      <c r="O29" s="1054"/>
      <c r="P29" s="1054"/>
      <c r="Q29" s="1054"/>
      <c r="R29" s="1054"/>
      <c r="S29" s="1054"/>
      <c r="T29" s="1054"/>
      <c r="U29" s="1054"/>
      <c r="V29" s="1054"/>
      <c r="W29" s="1054"/>
      <c r="X29" s="1075"/>
      <c r="Y29" s="1075"/>
      <c r="Z29" s="1075"/>
      <c r="AA29" s="1075"/>
      <c r="AB29" s="1075"/>
      <c r="AC29" s="1075"/>
      <c r="AD29" s="1075"/>
      <c r="AE29" s="1075"/>
      <c r="AF29" s="1075"/>
      <c r="AG29" s="1075"/>
      <c r="AH29" s="1075"/>
      <c r="AI29" s="1075"/>
      <c r="AJ29" s="1075"/>
      <c r="AK29" s="1055"/>
      <c r="AL29" s="1055"/>
      <c r="AM29" s="1055"/>
      <c r="AN29" s="1055"/>
      <c r="AO29" s="1055"/>
      <c r="AP29" s="1055"/>
      <c r="AQ29" s="1055"/>
      <c r="AR29" s="1055"/>
      <c r="AS29" s="1055"/>
    </row>
    <row r="30" spans="1:53" s="71" customFormat="1">
      <c r="A30" s="1059"/>
      <c r="B30" s="1059"/>
      <c r="C30" s="83"/>
      <c r="D30" s="83"/>
      <c r="E30" s="83"/>
      <c r="F30" s="83"/>
      <c r="G30" s="83"/>
      <c r="H30" s="83"/>
      <c r="I30" s="83"/>
      <c r="J30" s="83"/>
      <c r="K30" s="83"/>
      <c r="L30" s="83"/>
      <c r="M30" s="84"/>
      <c r="N30" s="84"/>
      <c r="O30" s="84"/>
      <c r="P30" s="84"/>
      <c r="Q30" s="84"/>
      <c r="R30" s="84"/>
      <c r="S30" s="84"/>
      <c r="T30" s="84"/>
      <c r="U30" s="84"/>
      <c r="V30" s="79"/>
      <c r="W30" s="79"/>
      <c r="X30" s="83"/>
      <c r="Y30" s="83"/>
      <c r="Z30" s="83"/>
      <c r="AA30" s="83"/>
      <c r="AB30" s="83"/>
      <c r="AC30" s="83"/>
      <c r="AD30" s="83"/>
      <c r="AE30" s="83"/>
      <c r="AF30" s="83"/>
      <c r="AG30" s="83"/>
      <c r="AH30" s="83"/>
      <c r="AI30" s="83"/>
      <c r="AJ30" s="83"/>
      <c r="AK30" s="83"/>
      <c r="AL30" s="83"/>
      <c r="AM30" s="83"/>
      <c r="AN30" s="83"/>
      <c r="AO30" s="83"/>
      <c r="AP30" s="83"/>
      <c r="AQ30" s="83"/>
      <c r="AR30" s="83"/>
      <c r="AS30" s="83"/>
      <c r="BA30" s="236"/>
    </row>
    <row r="31" spans="1:53">
      <c r="A31" s="85"/>
      <c r="B31" s="1060" t="s">
        <v>150</v>
      </c>
      <c r="C31" s="1061"/>
      <c r="D31" s="86"/>
      <c r="E31" s="1062" t="s">
        <v>157</v>
      </c>
      <c r="F31" s="1062"/>
      <c r="G31" s="1062"/>
      <c r="H31" s="1062"/>
      <c r="I31" s="1062"/>
      <c r="J31" s="1062"/>
      <c r="K31" s="1062"/>
      <c r="L31" s="1062"/>
      <c r="M31" s="1062"/>
      <c r="N31" s="1062"/>
      <c r="O31" s="1062"/>
      <c r="P31" s="1062"/>
      <c r="Q31" s="1062"/>
      <c r="R31" s="1062"/>
      <c r="S31" s="1062"/>
      <c r="T31" s="1062"/>
      <c r="U31" s="1062"/>
      <c r="V31" s="1062"/>
      <c r="W31" s="1062"/>
      <c r="X31" s="1062"/>
      <c r="Y31" s="1062"/>
      <c r="Z31" s="1062"/>
      <c r="AA31" s="1062"/>
      <c r="AB31" s="1062"/>
      <c r="AC31" s="1062"/>
      <c r="AD31" s="1062"/>
      <c r="AE31" s="1062"/>
      <c r="AF31" s="1062"/>
      <c r="AG31" s="1062"/>
      <c r="AH31" s="1062"/>
      <c r="AI31" s="1062"/>
      <c r="AJ31" s="1062"/>
      <c r="AK31" s="1062"/>
      <c r="AL31" s="1062"/>
      <c r="AM31" s="1062"/>
      <c r="AN31" s="1062"/>
      <c r="AO31" s="1062"/>
      <c r="AP31" s="1062"/>
      <c r="AQ31" s="1062"/>
      <c r="AR31" s="1062"/>
      <c r="AS31" s="1062"/>
    </row>
    <row r="32" spans="1:53" ht="13.5" customHeight="1">
      <c r="A32" s="87"/>
      <c r="B32" s="87"/>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row>
    <row r="33" spans="1:45" ht="5.25" customHeight="1">
      <c r="A33" s="67"/>
      <c r="B33" s="67"/>
      <c r="C33" s="89"/>
      <c r="D33" s="89"/>
      <c r="E33" s="1062" t="s">
        <v>151</v>
      </c>
      <c r="F33" s="1062"/>
      <c r="G33" s="1062"/>
      <c r="H33" s="1062"/>
      <c r="I33" s="1062"/>
      <c r="J33" s="1062"/>
      <c r="K33" s="1062"/>
      <c r="L33" s="1062"/>
      <c r="M33" s="1062"/>
      <c r="N33" s="1062"/>
      <c r="O33" s="1062"/>
      <c r="P33" s="1062"/>
      <c r="Q33" s="1062"/>
      <c r="R33" s="1062"/>
      <c r="S33" s="1062"/>
      <c r="T33" s="1062"/>
      <c r="U33" s="1062"/>
      <c r="V33" s="1062"/>
      <c r="W33" s="1062"/>
      <c r="X33" s="1062"/>
      <c r="Y33" s="1062"/>
      <c r="Z33" s="1062"/>
      <c r="AA33" s="1062"/>
      <c r="AB33" s="1062"/>
      <c r="AC33" s="1062"/>
      <c r="AD33" s="1062"/>
      <c r="AE33" s="1062"/>
      <c r="AF33" s="1062"/>
      <c r="AG33" s="1062"/>
      <c r="AH33" s="1062"/>
      <c r="AI33" s="1062"/>
      <c r="AJ33" s="1062"/>
      <c r="AK33" s="1062"/>
      <c r="AL33" s="1062"/>
      <c r="AM33" s="1062"/>
      <c r="AN33" s="1062"/>
      <c r="AO33" s="1062"/>
      <c r="AP33" s="1062"/>
      <c r="AQ33" s="1062"/>
      <c r="AR33" s="1062"/>
      <c r="AS33" s="1062"/>
    </row>
    <row r="34" spans="1:45">
      <c r="A34" s="85"/>
      <c r="B34" s="1063" t="s">
        <v>152</v>
      </c>
      <c r="C34" s="1064"/>
      <c r="D34" s="86"/>
      <c r="E34" s="1062"/>
      <c r="F34" s="1062"/>
      <c r="G34" s="1062"/>
      <c r="H34" s="1062"/>
      <c r="I34" s="1062"/>
      <c r="J34" s="1062"/>
      <c r="K34" s="1062"/>
      <c r="L34" s="1062"/>
      <c r="M34" s="1062"/>
      <c r="N34" s="1062"/>
      <c r="O34" s="1062"/>
      <c r="P34" s="1062"/>
      <c r="Q34" s="1062"/>
      <c r="R34" s="1062"/>
      <c r="S34" s="1062"/>
      <c r="T34" s="1062"/>
      <c r="U34" s="1062"/>
      <c r="V34" s="1062"/>
      <c r="W34" s="1062"/>
      <c r="X34" s="1062"/>
      <c r="Y34" s="1062"/>
      <c r="Z34" s="1062"/>
      <c r="AA34" s="1062"/>
      <c r="AB34" s="1062"/>
      <c r="AC34" s="1062"/>
      <c r="AD34" s="1062"/>
      <c r="AE34" s="1062"/>
      <c r="AF34" s="1062"/>
      <c r="AG34" s="1062"/>
      <c r="AH34" s="1062"/>
      <c r="AI34" s="1062"/>
      <c r="AJ34" s="1062"/>
      <c r="AK34" s="1062"/>
      <c r="AL34" s="1062"/>
      <c r="AM34" s="1062"/>
      <c r="AN34" s="1062"/>
      <c r="AO34" s="1062"/>
      <c r="AP34" s="1062"/>
      <c r="AQ34" s="1062"/>
      <c r="AR34" s="1062"/>
      <c r="AS34" s="1062"/>
    </row>
    <row r="35" spans="1:45" ht="15.75" customHeight="1">
      <c r="A35" s="67"/>
      <c r="B35" s="67"/>
      <c r="C35" s="86"/>
      <c r="D35" s="86"/>
      <c r="E35" s="1062"/>
      <c r="F35" s="1062"/>
      <c r="G35" s="1062"/>
      <c r="H35" s="1062"/>
      <c r="I35" s="1062"/>
      <c r="J35" s="1062"/>
      <c r="K35" s="1062"/>
      <c r="L35" s="1062"/>
      <c r="M35" s="1062"/>
      <c r="N35" s="1062"/>
      <c r="O35" s="1062"/>
      <c r="P35" s="1062"/>
      <c r="Q35" s="1062"/>
      <c r="R35" s="1062"/>
      <c r="S35" s="1062"/>
      <c r="T35" s="1062"/>
      <c r="U35" s="1062"/>
      <c r="V35" s="1062"/>
      <c r="W35" s="1062"/>
      <c r="X35" s="1062"/>
      <c r="Y35" s="1062"/>
      <c r="Z35" s="1062"/>
      <c r="AA35" s="1062"/>
      <c r="AB35" s="1062"/>
      <c r="AC35" s="1062"/>
      <c r="AD35" s="1062"/>
      <c r="AE35" s="1062"/>
      <c r="AF35" s="1062"/>
      <c r="AG35" s="1062"/>
      <c r="AH35" s="1062"/>
      <c r="AI35" s="1062"/>
      <c r="AJ35" s="1062"/>
      <c r="AK35" s="1062"/>
      <c r="AL35" s="1062"/>
      <c r="AM35" s="1062"/>
      <c r="AN35" s="1062"/>
      <c r="AO35" s="1062"/>
      <c r="AP35" s="1062"/>
      <c r="AQ35" s="1062"/>
      <c r="AR35" s="1062"/>
      <c r="AS35" s="1062"/>
    </row>
    <row r="36" spans="1:45" ht="12.75" customHeight="1">
      <c r="A36" s="85"/>
      <c r="B36" s="85"/>
      <c r="C36" s="90"/>
      <c r="D36" s="90"/>
      <c r="E36" s="1065" t="s">
        <v>607</v>
      </c>
      <c r="F36" s="1065"/>
      <c r="G36" s="1065"/>
      <c r="H36" s="1065"/>
      <c r="I36" s="1065"/>
      <c r="J36" s="1065"/>
      <c r="K36" s="1065"/>
      <c r="L36" s="1065"/>
      <c r="M36" s="1065"/>
      <c r="N36" s="1065"/>
      <c r="O36" s="1065"/>
      <c r="P36" s="1065"/>
      <c r="Q36" s="1065"/>
      <c r="R36" s="1065"/>
      <c r="S36" s="1065"/>
      <c r="T36" s="1065"/>
      <c r="U36" s="1065"/>
      <c r="V36" s="1065"/>
      <c r="W36" s="1065"/>
      <c r="X36" s="1065"/>
      <c r="Y36" s="1065"/>
      <c r="Z36" s="1065"/>
      <c r="AA36" s="1065"/>
      <c r="AB36" s="1065"/>
      <c r="AC36" s="1065"/>
      <c r="AD36" s="1065"/>
      <c r="AE36" s="1065"/>
      <c r="AF36" s="1065"/>
      <c r="AG36" s="1065"/>
      <c r="AH36" s="1065"/>
      <c r="AI36" s="1065"/>
      <c r="AJ36" s="1065"/>
      <c r="AK36" s="1065"/>
      <c r="AL36" s="1065"/>
      <c r="AM36" s="1065"/>
      <c r="AN36" s="1065"/>
      <c r="AO36" s="1065"/>
      <c r="AP36" s="1065"/>
      <c r="AQ36" s="1065"/>
      <c r="AR36" s="1065"/>
      <c r="AS36" s="1065"/>
    </row>
    <row r="37" spans="1:45">
      <c r="A37" s="67"/>
      <c r="B37" s="1066" t="s">
        <v>153</v>
      </c>
      <c r="C37" s="1067"/>
      <c r="D37" s="86"/>
      <c r="E37" s="1065"/>
      <c r="F37" s="1065"/>
      <c r="G37" s="1065"/>
      <c r="H37" s="1065"/>
      <c r="I37" s="1065"/>
      <c r="J37" s="1065"/>
      <c r="K37" s="1065"/>
      <c r="L37" s="1065"/>
      <c r="M37" s="1065"/>
      <c r="N37" s="1065"/>
      <c r="O37" s="1065"/>
      <c r="P37" s="1065"/>
      <c r="Q37" s="1065"/>
      <c r="R37" s="1065"/>
      <c r="S37" s="1065"/>
      <c r="T37" s="1065"/>
      <c r="U37" s="1065"/>
      <c r="V37" s="1065"/>
      <c r="W37" s="1065"/>
      <c r="X37" s="1065"/>
      <c r="Y37" s="1065"/>
      <c r="Z37" s="1065"/>
      <c r="AA37" s="1065"/>
      <c r="AB37" s="1065"/>
      <c r="AC37" s="1065"/>
      <c r="AD37" s="1065"/>
      <c r="AE37" s="1065"/>
      <c r="AF37" s="1065"/>
      <c r="AG37" s="1065"/>
      <c r="AH37" s="1065"/>
      <c r="AI37" s="1065"/>
      <c r="AJ37" s="1065"/>
      <c r="AK37" s="1065"/>
      <c r="AL37" s="1065"/>
      <c r="AM37" s="1065"/>
      <c r="AN37" s="1065"/>
      <c r="AO37" s="1065"/>
      <c r="AP37" s="1065"/>
      <c r="AQ37" s="1065"/>
      <c r="AR37" s="1065"/>
      <c r="AS37" s="1065"/>
    </row>
    <row r="38" spans="1:45" ht="16" customHeight="1">
      <c r="A38" s="67"/>
      <c r="B38" s="67"/>
      <c r="C38" s="86"/>
      <c r="D38" s="86"/>
      <c r="E38" s="1065"/>
      <c r="F38" s="1065"/>
      <c r="G38" s="1065"/>
      <c r="H38" s="1065"/>
      <c r="I38" s="1065"/>
      <c r="J38" s="1065"/>
      <c r="K38" s="1065"/>
      <c r="L38" s="1065"/>
      <c r="M38" s="1065"/>
      <c r="N38" s="1065"/>
      <c r="O38" s="1065"/>
      <c r="P38" s="1065"/>
      <c r="Q38" s="1065"/>
      <c r="R38" s="1065"/>
      <c r="S38" s="1065"/>
      <c r="T38" s="1065"/>
      <c r="U38" s="1065"/>
      <c r="V38" s="1065"/>
      <c r="W38" s="1065"/>
      <c r="X38" s="1065"/>
      <c r="Y38" s="1065"/>
      <c r="Z38" s="1065"/>
      <c r="AA38" s="1065"/>
      <c r="AB38" s="1065"/>
      <c r="AC38" s="1065"/>
      <c r="AD38" s="1065"/>
      <c r="AE38" s="1065"/>
      <c r="AF38" s="1065"/>
      <c r="AG38" s="1065"/>
      <c r="AH38" s="1065"/>
      <c r="AI38" s="1065"/>
      <c r="AJ38" s="1065"/>
      <c r="AK38" s="1065"/>
      <c r="AL38" s="1065"/>
      <c r="AM38" s="1065"/>
      <c r="AN38" s="1065"/>
      <c r="AO38" s="1065"/>
      <c r="AP38" s="1065"/>
      <c r="AQ38" s="1065"/>
      <c r="AR38" s="1065"/>
      <c r="AS38" s="1065"/>
    </row>
    <row r="39" spans="1:45" ht="4.5" customHeight="1">
      <c r="A39" s="85"/>
      <c r="B39" s="85"/>
      <c r="C39" s="90"/>
      <c r="D39" s="90"/>
      <c r="E39" s="1062" t="s">
        <v>155</v>
      </c>
      <c r="F39" s="1062"/>
      <c r="G39" s="1062"/>
      <c r="H39" s="1062"/>
      <c r="I39" s="1062"/>
      <c r="J39" s="1062"/>
      <c r="K39" s="1062"/>
      <c r="L39" s="1062"/>
      <c r="M39" s="1062"/>
      <c r="N39" s="1062"/>
      <c r="O39" s="1062"/>
      <c r="P39" s="1062"/>
      <c r="Q39" s="1062"/>
      <c r="R39" s="1062"/>
      <c r="S39" s="1062"/>
      <c r="T39" s="1062"/>
      <c r="U39" s="1062"/>
      <c r="V39" s="1062"/>
      <c r="W39" s="1062"/>
      <c r="X39" s="1062"/>
      <c r="Y39" s="1062"/>
      <c r="Z39" s="1062"/>
      <c r="AA39" s="1062"/>
      <c r="AB39" s="1062"/>
      <c r="AC39" s="1062"/>
      <c r="AD39" s="1062"/>
      <c r="AE39" s="1062"/>
      <c r="AF39" s="1062"/>
      <c r="AG39" s="1062"/>
      <c r="AH39" s="1062"/>
      <c r="AI39" s="1062"/>
      <c r="AJ39" s="1062"/>
      <c r="AK39" s="1062"/>
      <c r="AL39" s="1062"/>
      <c r="AM39" s="1062"/>
      <c r="AN39" s="1062"/>
      <c r="AO39" s="1062"/>
      <c r="AP39" s="1062"/>
      <c r="AQ39" s="1062"/>
      <c r="AR39" s="1062"/>
      <c r="AS39" s="1062"/>
    </row>
    <row r="40" spans="1:45">
      <c r="A40" s="67"/>
      <c r="B40" s="1066" t="s">
        <v>154</v>
      </c>
      <c r="C40" s="1067"/>
      <c r="D40" s="86"/>
      <c r="E40" s="1062"/>
      <c r="F40" s="1062"/>
      <c r="G40" s="1062"/>
      <c r="H40" s="1062"/>
      <c r="I40" s="1062"/>
      <c r="J40" s="1062"/>
      <c r="K40" s="1062"/>
      <c r="L40" s="1062"/>
      <c r="M40" s="1062"/>
      <c r="N40" s="1062"/>
      <c r="O40" s="1062"/>
      <c r="P40" s="1062"/>
      <c r="Q40" s="1062"/>
      <c r="R40" s="1062"/>
      <c r="S40" s="1062"/>
      <c r="T40" s="1062"/>
      <c r="U40" s="1062"/>
      <c r="V40" s="1062"/>
      <c r="W40" s="1062"/>
      <c r="X40" s="1062"/>
      <c r="Y40" s="1062"/>
      <c r="Z40" s="1062"/>
      <c r="AA40" s="1062"/>
      <c r="AB40" s="1062"/>
      <c r="AC40" s="1062"/>
      <c r="AD40" s="1062"/>
      <c r="AE40" s="1062"/>
      <c r="AF40" s="1062"/>
      <c r="AG40" s="1062"/>
      <c r="AH40" s="1062"/>
      <c r="AI40" s="1062"/>
      <c r="AJ40" s="1062"/>
      <c r="AK40" s="1062"/>
      <c r="AL40" s="1062"/>
      <c r="AM40" s="1062"/>
      <c r="AN40" s="1062"/>
      <c r="AO40" s="1062"/>
      <c r="AP40" s="1062"/>
      <c r="AQ40" s="1062"/>
      <c r="AR40" s="1062"/>
      <c r="AS40" s="1062"/>
    </row>
    <row r="41" spans="1:45" ht="9.75" customHeight="1">
      <c r="A41" s="67"/>
      <c r="B41" s="67"/>
      <c r="C41" s="86"/>
      <c r="D41" s="86"/>
      <c r="E41" s="1062"/>
      <c r="F41" s="1062"/>
      <c r="G41" s="1062"/>
      <c r="H41" s="1062"/>
      <c r="I41" s="1062"/>
      <c r="J41" s="1062"/>
      <c r="K41" s="1062"/>
      <c r="L41" s="1062"/>
      <c r="M41" s="1062"/>
      <c r="N41" s="1062"/>
      <c r="O41" s="1062"/>
      <c r="P41" s="1062"/>
      <c r="Q41" s="1062"/>
      <c r="R41" s="1062"/>
      <c r="S41" s="1062"/>
      <c r="T41" s="1062"/>
      <c r="U41" s="1062"/>
      <c r="V41" s="1062"/>
      <c r="W41" s="1062"/>
      <c r="X41" s="1062"/>
      <c r="Y41" s="1062"/>
      <c r="Z41" s="1062"/>
      <c r="AA41" s="1062"/>
      <c r="AB41" s="1062"/>
      <c r="AC41" s="1062"/>
      <c r="AD41" s="1062"/>
      <c r="AE41" s="1062"/>
      <c r="AF41" s="1062"/>
      <c r="AG41" s="1062"/>
      <c r="AH41" s="1062"/>
      <c r="AI41" s="1062"/>
      <c r="AJ41" s="1062"/>
      <c r="AK41" s="1062"/>
      <c r="AL41" s="1062"/>
      <c r="AM41" s="1062"/>
      <c r="AN41" s="1062"/>
      <c r="AO41" s="1062"/>
      <c r="AP41" s="1062"/>
      <c r="AQ41" s="1062"/>
      <c r="AR41" s="1062"/>
      <c r="AS41" s="1062"/>
    </row>
    <row r="42" spans="1:45" ht="13.5" customHeight="1">
      <c r="A42" s="67"/>
      <c r="B42" s="67"/>
      <c r="C42" s="86"/>
      <c r="D42" s="86"/>
      <c r="E42" s="1058"/>
      <c r="F42" s="1058"/>
      <c r="G42" s="1058"/>
      <c r="H42" s="1058"/>
      <c r="I42" s="1058"/>
      <c r="J42" s="1058"/>
      <c r="K42" s="1058"/>
      <c r="L42" s="1058"/>
      <c r="M42" s="1058"/>
      <c r="N42" s="1058"/>
      <c r="O42" s="1058"/>
      <c r="P42" s="1058"/>
      <c r="Q42" s="1058"/>
      <c r="R42" s="1058"/>
      <c r="S42" s="1058"/>
      <c r="T42" s="1058"/>
      <c r="U42" s="1058"/>
      <c r="V42" s="1058"/>
      <c r="W42" s="1058"/>
      <c r="X42" s="1058"/>
      <c r="Y42" s="1058"/>
      <c r="Z42" s="1058"/>
      <c r="AA42" s="1058"/>
      <c r="AB42" s="1058"/>
      <c r="AC42" s="1058"/>
      <c r="AD42" s="1058"/>
      <c r="AE42" s="1058"/>
      <c r="AF42" s="1058"/>
      <c r="AG42" s="1058"/>
      <c r="AH42" s="1058"/>
      <c r="AI42" s="1058"/>
      <c r="AJ42" s="1058"/>
      <c r="AK42" s="1058"/>
      <c r="AL42" s="1058"/>
      <c r="AM42" s="1058"/>
      <c r="AN42" s="1058"/>
      <c r="AO42" s="1058"/>
      <c r="AP42" s="1058"/>
      <c r="AQ42" s="1058"/>
      <c r="AR42" s="1058"/>
      <c r="AS42" s="1058"/>
    </row>
  </sheetData>
  <sheetProtection algorithmName="SHA-512" hashValue="htwj5/KyxNaw6UV4ULEvvyBJAKWDsxVeSaulSNks3oAn3Vgfa9+Cy7UMTdir4uUsHdqJ6PQbgX9gOul4F2OMnQ==" saltValue="oQpe566B0IitikSSXcu5wQ==" spinCount="100000" sheet="1" objects="1" scenarios="1"/>
  <mergeCells count="103">
    <mergeCell ref="A5:O6"/>
    <mergeCell ref="P5:Y5"/>
    <mergeCell ref="Z5:AI5"/>
    <mergeCell ref="AJ5:AS5"/>
    <mergeCell ref="AJ6:AP6"/>
    <mergeCell ref="Z2:AE2"/>
    <mergeCell ref="AF2:AS2"/>
    <mergeCell ref="Z3:AE3"/>
    <mergeCell ref="AF3:AS3"/>
    <mergeCell ref="C14:O14"/>
    <mergeCell ref="P14:Y14"/>
    <mergeCell ref="P9:Y9"/>
    <mergeCell ref="Z9:AI9"/>
    <mergeCell ref="AJ9:AS9"/>
    <mergeCell ref="C10:O10"/>
    <mergeCell ref="P10:Y10"/>
    <mergeCell ref="Z10:AI10"/>
    <mergeCell ref="AJ10:AS10"/>
    <mergeCell ref="C9:O9"/>
    <mergeCell ref="C13:O13"/>
    <mergeCell ref="P13:Y13"/>
    <mergeCell ref="Z13:AI13"/>
    <mergeCell ref="AJ13:AS13"/>
    <mergeCell ref="Z14:AI14"/>
    <mergeCell ref="AJ14:AS14"/>
    <mergeCell ref="Z7:AI7"/>
    <mergeCell ref="AJ7:AS7"/>
    <mergeCell ref="C8:O8"/>
    <mergeCell ref="P8:Y8"/>
    <mergeCell ref="Z8:AI8"/>
    <mergeCell ref="AJ8:AS8"/>
    <mergeCell ref="C11:O11"/>
    <mergeCell ref="P11:Y11"/>
    <mergeCell ref="A24:B29"/>
    <mergeCell ref="Z11:AI11"/>
    <mergeCell ref="AJ11:AS11"/>
    <mergeCell ref="C12:O12"/>
    <mergeCell ref="P12:Y12"/>
    <mergeCell ref="Z12:AI12"/>
    <mergeCell ref="AJ12:AS12"/>
    <mergeCell ref="C17:O17"/>
    <mergeCell ref="P17:Y17"/>
    <mergeCell ref="Z17:AI17"/>
    <mergeCell ref="AJ17:AS17"/>
    <mergeCell ref="C19:O19"/>
    <mergeCell ref="C15:O15"/>
    <mergeCell ref="P15:Y15"/>
    <mergeCell ref="Z15:AI15"/>
    <mergeCell ref="AJ15:AS15"/>
    <mergeCell ref="C16:O16"/>
    <mergeCell ref="P16:Y16"/>
    <mergeCell ref="Z16:AI16"/>
    <mergeCell ref="AJ16:AS16"/>
    <mergeCell ref="X29:AJ29"/>
    <mergeCell ref="C18:O18"/>
    <mergeCell ref="P18:Y18"/>
    <mergeCell ref="Z18:AI18"/>
    <mergeCell ref="AJ18:AS18"/>
    <mergeCell ref="P19:Y19"/>
    <mergeCell ref="Z19:AI19"/>
    <mergeCell ref="AJ19:AS19"/>
    <mergeCell ref="AM22:AS22"/>
    <mergeCell ref="A23:L23"/>
    <mergeCell ref="M23:W23"/>
    <mergeCell ref="X23:AJ23"/>
    <mergeCell ref="AK23:AS23"/>
    <mergeCell ref="A7:B19"/>
    <mergeCell ref="C7:O7"/>
    <mergeCell ref="P7:Y7"/>
    <mergeCell ref="C24:L24"/>
    <mergeCell ref="M24:W24"/>
    <mergeCell ref="X24:AJ24"/>
    <mergeCell ref="AK24:AS24"/>
    <mergeCell ref="E42:AS42"/>
    <mergeCell ref="A30:B30"/>
    <mergeCell ref="B31:C31"/>
    <mergeCell ref="E31:AS31"/>
    <mergeCell ref="E33:AS35"/>
    <mergeCell ref="B34:C34"/>
    <mergeCell ref="E36:AS38"/>
    <mergeCell ref="B37:C37"/>
    <mergeCell ref="E39:AS41"/>
    <mergeCell ref="B40:C40"/>
    <mergeCell ref="M28:W28"/>
    <mergeCell ref="C26:L26"/>
    <mergeCell ref="X28:AJ28"/>
    <mergeCell ref="AK28:AS28"/>
    <mergeCell ref="C29:L29"/>
    <mergeCell ref="M29:W29"/>
    <mergeCell ref="C25:L25"/>
    <mergeCell ref="M25:W25"/>
    <mergeCell ref="X25:AJ25"/>
    <mergeCell ref="AK25:AS25"/>
    <mergeCell ref="AK29:AS29"/>
    <mergeCell ref="M26:W26"/>
    <mergeCell ref="X26:AJ26"/>
    <mergeCell ref="AK26:AS26"/>
    <mergeCell ref="C27:D28"/>
    <mergeCell ref="E27:L27"/>
    <mergeCell ref="M27:W27"/>
    <mergeCell ref="X27:AJ27"/>
    <mergeCell ref="AK27:AS27"/>
    <mergeCell ref="E28:L28"/>
  </mergeCells>
  <phoneticPr fontId="41"/>
  <dataValidations count="3">
    <dataValidation type="whole" imeMode="disabled" operator="greaterThanOrEqual" allowBlank="1" showInputMessage="1" showErrorMessage="1" error="数字のみで入力してください" prompt="数字のみで入力してください" sqref="M24:W28" xr:uid="{00000000-0002-0000-1500-000000000000}">
      <formula1>0</formula1>
    </dataValidation>
    <dataValidation type="list" allowBlank="1" showInputMessage="1" showErrorMessage="1" error="プルダウンより選択してください" prompt="プルダウンより選択してください" sqref="AK24:AS28" xr:uid="{00000000-0002-0000-1500-000001000000}">
      <formula1>"(選択),調達済,内諾済,折衝中,相談前"</formula1>
    </dataValidation>
    <dataValidation type="whole" operator="greaterThanOrEqual" allowBlank="1" showInputMessage="1" showErrorMessage="1" errorTitle="エラー" error="整数を入力してください。単位は「円」です。" sqref="P18:Y18" xr:uid="{00000000-0002-0000-1500-000002000000}">
      <formula1>-10000000000000000</formula1>
    </dataValidation>
  </dataValidations>
  <printOptions horizontalCentered="1"/>
  <pageMargins left="0.70866141732283472" right="0.70866141732283472" top="0.74803149606299213" bottom="0.74803149606299213" header="0.31496062992125984" footer="0.31496062992125984"/>
  <pageSetup paperSize="9" scale="8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22</vt:i4>
      </vt:variant>
      <vt:variant>
        <vt:lpstr>名前付き一覧</vt:lpstr>
      </vt:variant>
      <vt:variant>
        <vt:i4>24</vt:i4>
      </vt:variant>
    </vt:vector>
  </HeadingPairs>
  <TitlesOfParts>
    <vt:vector size="46" baseType="lpstr">
      <vt:lpstr>表紙</vt:lpstr>
      <vt:lpstr>申請者1</vt:lpstr>
      <vt:lpstr>申請者2</vt:lpstr>
      <vt:lpstr>申請者3</vt:lpstr>
      <vt:lpstr>計画1</vt:lpstr>
      <vt:lpstr>計画2</vt:lpstr>
      <vt:lpstr>計画3</vt:lpstr>
      <vt:lpstr>計画4</vt:lpstr>
      <vt:lpstr>工程</vt:lpstr>
      <vt:lpstr>原材料</vt:lpstr>
      <vt:lpstr>機械</vt:lpstr>
      <vt:lpstr>委託</vt:lpstr>
      <vt:lpstr>財産権</vt:lpstr>
      <vt:lpstr>規格</vt:lpstr>
      <vt:lpstr>設備</vt:lpstr>
      <vt:lpstr>システム</vt:lpstr>
      <vt:lpstr>専門</vt:lpstr>
      <vt:lpstr>賃借</vt:lpstr>
      <vt:lpstr>販売</vt:lpstr>
      <vt:lpstr>他</vt:lpstr>
      <vt:lpstr>相見積一覧</vt:lpstr>
      <vt:lpstr>資金</vt:lpstr>
      <vt:lpstr>システム!Print_Area</vt:lpstr>
      <vt:lpstr>委託!Print_Area</vt:lpstr>
      <vt:lpstr>機械!Print_Area</vt:lpstr>
      <vt:lpstr>規格!Print_Area</vt:lpstr>
      <vt:lpstr>計画1!Print_Area</vt:lpstr>
      <vt:lpstr>計画2!Print_Area</vt:lpstr>
      <vt:lpstr>計画3!Print_Area</vt:lpstr>
      <vt:lpstr>計画4!Print_Area</vt:lpstr>
      <vt:lpstr>原材料!Print_Area</vt:lpstr>
      <vt:lpstr>工程!Print_Area</vt:lpstr>
      <vt:lpstr>財産権!Print_Area</vt:lpstr>
      <vt:lpstr>資金!Print_Area</vt:lpstr>
      <vt:lpstr>申請者1!Print_Area</vt:lpstr>
      <vt:lpstr>申請者2!Print_Area</vt:lpstr>
      <vt:lpstr>申請者3!Print_Area</vt:lpstr>
      <vt:lpstr>専門!Print_Area</vt:lpstr>
      <vt:lpstr>相見積一覧!Print_Area</vt:lpstr>
      <vt:lpstr>他!Print_Area</vt:lpstr>
      <vt:lpstr>販売!Print_Area</vt:lpstr>
      <vt:lpstr>表紙!Print_Area</vt:lpstr>
      <vt:lpstr>サービス業</vt:lpstr>
      <vt:lpstr>卸売業</vt:lpstr>
      <vt:lpstr>小売業</vt:lpstr>
      <vt:lpstr>製造業その他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2026-01-07T04:21:15Z</cp:lastPrinted>
  <dcterms:created xsi:type="dcterms:W3CDTF">2015-06-05T18:19:34Z</dcterms:created>
  <dcterms:modified xsi:type="dcterms:W3CDTF">2026-01-07T04:24:31Z</dcterms:modified>
</cp:coreProperties>
</file>